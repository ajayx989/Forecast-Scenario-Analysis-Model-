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AI Contest\"/>
    </mc:Choice>
  </mc:AlternateContent>
  <xr:revisionPtr revIDLastSave="0" documentId="13_ncr:1_{C2B6648B-6117-4BFE-84EF-7A67F381FCDB}" xr6:coauthVersionLast="47" xr6:coauthVersionMax="47" xr10:uidLastSave="{00000000-0000-0000-0000-000000000000}"/>
  <bookViews>
    <workbookView xWindow="-108" yWindow="-108" windowWidth="23256" windowHeight="12456" tabRatio="841" activeTab="1" xr2:uid="{00000000-000D-0000-FFFF-FFFF00000000}"/>
  </bookViews>
  <sheets>
    <sheet name="1_Actuals_Overview" sheetId="1" r:id="rId1"/>
    <sheet name="Actuals_Summary" sheetId="7" r:id="rId2"/>
    <sheet name="2_2026_Forecast" sheetId="2" r:id="rId3"/>
    <sheet name="Forecast_2026" sheetId="8" r:id="rId4"/>
    <sheet name="Sales_Data" sheetId="3" r:id="rId5"/>
    <sheet name="Master_Data" sheetId="4" r:id="rId6"/>
    <sheet name="Assumed_scenario" sheetId="5" r:id="rId7"/>
    <sheet name="company_profile" sheetId="6" r:id="rId8"/>
    <sheet name="Chart_Data" sheetId="9" r:id="rId9"/>
  </sheets>
  <definedNames>
    <definedName name="ScenarioList">Assumed_scenario!$A$2:$A$6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" i="9" l="1"/>
  <c r="A17" i="9"/>
  <c r="A16" i="9"/>
  <c r="A15" i="9"/>
  <c r="A14" i="9"/>
  <c r="I10" i="9"/>
  <c r="H10" i="9"/>
  <c r="G10" i="9"/>
  <c r="I9" i="9"/>
  <c r="H9" i="9"/>
  <c r="G9" i="9"/>
  <c r="E9" i="9"/>
  <c r="I8" i="9"/>
  <c r="H8" i="9"/>
  <c r="G8" i="9"/>
  <c r="E8" i="9"/>
  <c r="B8" i="9"/>
  <c r="I7" i="9"/>
  <c r="H7" i="9"/>
  <c r="G7" i="9"/>
  <c r="E7" i="9"/>
  <c r="B7" i="9"/>
  <c r="I6" i="9"/>
  <c r="H6" i="9"/>
  <c r="G6" i="9"/>
  <c r="E6" i="9"/>
  <c r="B6" i="9"/>
  <c r="I5" i="9"/>
  <c r="H5" i="9"/>
  <c r="G5" i="9"/>
  <c r="E5" i="9"/>
  <c r="B5" i="9"/>
  <c r="O33" i="8"/>
  <c r="U33" i="8" s="1"/>
  <c r="N33" i="8"/>
  <c r="M33" i="8"/>
  <c r="L33" i="8"/>
  <c r="K33" i="8"/>
  <c r="J33" i="8"/>
  <c r="I33" i="8"/>
  <c r="X33" i="8" s="1"/>
  <c r="H33" i="8"/>
  <c r="R33" i="8" s="1"/>
  <c r="F33" i="8"/>
  <c r="P33" i="8" s="1"/>
  <c r="E33" i="8"/>
  <c r="G33" i="8" s="1"/>
  <c r="Q33" i="8" s="1"/>
  <c r="D33" i="8"/>
  <c r="C33" i="8"/>
  <c r="R32" i="8"/>
  <c r="O32" i="8"/>
  <c r="N32" i="8"/>
  <c r="M32" i="8"/>
  <c r="L32" i="8"/>
  <c r="K32" i="8"/>
  <c r="J32" i="8"/>
  <c r="I32" i="8"/>
  <c r="X32" i="8" s="1"/>
  <c r="H32" i="8"/>
  <c r="G32" i="8"/>
  <c r="Q32" i="8" s="1"/>
  <c r="F32" i="8"/>
  <c r="P32" i="8" s="1"/>
  <c r="S32" i="8" s="1"/>
  <c r="T32" i="8" s="1"/>
  <c r="E32" i="8"/>
  <c r="D32" i="8"/>
  <c r="C32" i="8"/>
  <c r="N31" i="8"/>
  <c r="M31" i="8"/>
  <c r="R31" i="8" s="1"/>
  <c r="L31" i="8"/>
  <c r="K31" i="8"/>
  <c r="J31" i="8"/>
  <c r="I31" i="8"/>
  <c r="X31" i="8" s="1"/>
  <c r="H31" i="8"/>
  <c r="E31" i="8"/>
  <c r="G31" i="8" s="1"/>
  <c r="Q31" i="8" s="1"/>
  <c r="D31" i="8"/>
  <c r="C31" i="8"/>
  <c r="O30" i="8"/>
  <c r="N30" i="8"/>
  <c r="M30" i="8"/>
  <c r="L30" i="8"/>
  <c r="K30" i="8"/>
  <c r="J30" i="8"/>
  <c r="I30" i="8"/>
  <c r="X30" i="8" s="1"/>
  <c r="H30" i="8"/>
  <c r="R30" i="8" s="1"/>
  <c r="G30" i="8"/>
  <c r="Q30" i="8" s="1"/>
  <c r="U30" i="8" s="1"/>
  <c r="E30" i="8"/>
  <c r="F30" i="8" s="1"/>
  <c r="P30" i="8" s="1"/>
  <c r="S30" i="8" s="1"/>
  <c r="T30" i="8" s="1"/>
  <c r="D30" i="8"/>
  <c r="C30" i="8"/>
  <c r="X29" i="8"/>
  <c r="N29" i="8"/>
  <c r="M29" i="8"/>
  <c r="R29" i="8" s="1"/>
  <c r="L29" i="8"/>
  <c r="K29" i="8"/>
  <c r="J29" i="8"/>
  <c r="I29" i="8"/>
  <c r="H29" i="8"/>
  <c r="E29" i="8"/>
  <c r="G29" i="8" s="1"/>
  <c r="Q29" i="8" s="1"/>
  <c r="D29" i="8"/>
  <c r="C29" i="8"/>
  <c r="N28" i="8"/>
  <c r="M28" i="8"/>
  <c r="L28" i="8"/>
  <c r="K28" i="8"/>
  <c r="J28" i="8"/>
  <c r="I28" i="8"/>
  <c r="X28" i="8" s="1"/>
  <c r="H28" i="8"/>
  <c r="R28" i="8" s="1"/>
  <c r="E28" i="8"/>
  <c r="G28" i="8" s="1"/>
  <c r="Q28" i="8" s="1"/>
  <c r="D28" i="8"/>
  <c r="C28" i="8"/>
  <c r="O27" i="8"/>
  <c r="U27" i="8" s="1"/>
  <c r="N27" i="8"/>
  <c r="M27" i="8"/>
  <c r="L27" i="8"/>
  <c r="K27" i="8"/>
  <c r="J27" i="8"/>
  <c r="I27" i="8"/>
  <c r="X27" i="8" s="1"/>
  <c r="H27" i="8"/>
  <c r="R27" i="8" s="1"/>
  <c r="G27" i="8"/>
  <c r="Q27" i="8" s="1"/>
  <c r="F27" i="8"/>
  <c r="P27" i="8" s="1"/>
  <c r="S27" i="8" s="1"/>
  <c r="T27" i="8" s="1"/>
  <c r="E27" i="8"/>
  <c r="D27" i="8"/>
  <c r="C27" i="8"/>
  <c r="R26" i="8"/>
  <c r="N26" i="8"/>
  <c r="X26" i="8" s="1"/>
  <c r="M26" i="8"/>
  <c r="L26" i="8"/>
  <c r="K26" i="8"/>
  <c r="J26" i="8"/>
  <c r="I26" i="8"/>
  <c r="H26" i="8"/>
  <c r="E26" i="8"/>
  <c r="O26" i="8" s="1"/>
  <c r="D26" i="8"/>
  <c r="C26" i="8"/>
  <c r="O25" i="8"/>
  <c r="U25" i="8" s="1"/>
  <c r="N25" i="8"/>
  <c r="M25" i="8"/>
  <c r="R25" i="8" s="1"/>
  <c r="L25" i="8"/>
  <c r="K25" i="8"/>
  <c r="J25" i="8"/>
  <c r="I25" i="8"/>
  <c r="X25" i="8" s="1"/>
  <c r="H25" i="8"/>
  <c r="E25" i="8"/>
  <c r="G25" i="8" s="1"/>
  <c r="Q25" i="8" s="1"/>
  <c r="D25" i="8"/>
  <c r="C25" i="8"/>
  <c r="O24" i="8"/>
  <c r="N24" i="8"/>
  <c r="M24" i="8"/>
  <c r="L24" i="8"/>
  <c r="K24" i="8"/>
  <c r="J24" i="8"/>
  <c r="I24" i="8"/>
  <c r="X24" i="8" s="1"/>
  <c r="H24" i="8"/>
  <c r="R24" i="8" s="1"/>
  <c r="G24" i="8"/>
  <c r="Q24" i="8" s="1"/>
  <c r="U24" i="8" s="1"/>
  <c r="E24" i="8"/>
  <c r="F24" i="8" s="1"/>
  <c r="P24" i="8" s="1"/>
  <c r="S24" i="8" s="1"/>
  <c r="D24" i="8"/>
  <c r="C24" i="8"/>
  <c r="X23" i="8"/>
  <c r="N23" i="8"/>
  <c r="M23" i="8"/>
  <c r="L23" i="8"/>
  <c r="K23" i="8"/>
  <c r="J23" i="8"/>
  <c r="I23" i="8"/>
  <c r="H23" i="8"/>
  <c r="R23" i="8" s="1"/>
  <c r="E23" i="8"/>
  <c r="G23" i="8" s="1"/>
  <c r="Q23" i="8" s="1"/>
  <c r="D23" i="8"/>
  <c r="C23" i="8"/>
  <c r="R22" i="8"/>
  <c r="N22" i="8"/>
  <c r="M22" i="8"/>
  <c r="L22" i="8"/>
  <c r="K22" i="8"/>
  <c r="J22" i="8"/>
  <c r="O22" i="8" s="1"/>
  <c r="I22" i="8"/>
  <c r="X22" i="8" s="1"/>
  <c r="H22" i="8"/>
  <c r="E22" i="8"/>
  <c r="G22" i="8" s="1"/>
  <c r="Q22" i="8" s="1"/>
  <c r="D22" i="8"/>
  <c r="C22" i="8"/>
  <c r="O21" i="8"/>
  <c r="N21" i="8"/>
  <c r="M21" i="8"/>
  <c r="L21" i="8"/>
  <c r="K21" i="8"/>
  <c r="J21" i="8"/>
  <c r="I21" i="8"/>
  <c r="X21" i="8" s="1"/>
  <c r="H21" i="8"/>
  <c r="R21" i="8" s="1"/>
  <c r="G21" i="8"/>
  <c r="Q21" i="8" s="1"/>
  <c r="F21" i="8"/>
  <c r="P21" i="8" s="1"/>
  <c r="S21" i="8" s="1"/>
  <c r="T21" i="8" s="1"/>
  <c r="E21" i="8"/>
  <c r="D21" i="8"/>
  <c r="C21" i="8"/>
  <c r="R20" i="8"/>
  <c r="N20" i="8"/>
  <c r="X20" i="8" s="1"/>
  <c r="M20" i="8"/>
  <c r="L20" i="8"/>
  <c r="K20" i="8"/>
  <c r="J20" i="8"/>
  <c r="I20" i="8"/>
  <c r="H20" i="8"/>
  <c r="E20" i="8"/>
  <c r="O20" i="8" s="1"/>
  <c r="D20" i="8"/>
  <c r="C20" i="8"/>
  <c r="O19" i="8"/>
  <c r="N19" i="8"/>
  <c r="M19" i="8"/>
  <c r="R19" i="8" s="1"/>
  <c r="L19" i="8"/>
  <c r="K19" i="8"/>
  <c r="J19" i="8"/>
  <c r="I19" i="8"/>
  <c r="X19" i="8" s="1"/>
  <c r="H19" i="8"/>
  <c r="E19" i="8"/>
  <c r="G19" i="8" s="1"/>
  <c r="Q19" i="8" s="1"/>
  <c r="D19" i="8"/>
  <c r="C19" i="8"/>
  <c r="O18" i="8"/>
  <c r="N18" i="8"/>
  <c r="M18" i="8"/>
  <c r="L18" i="8"/>
  <c r="K18" i="8"/>
  <c r="J18" i="8"/>
  <c r="I18" i="8"/>
  <c r="X18" i="8" s="1"/>
  <c r="H18" i="8"/>
  <c r="R18" i="8" s="1"/>
  <c r="G18" i="8"/>
  <c r="Q18" i="8" s="1"/>
  <c r="U18" i="8" s="1"/>
  <c r="E18" i="8"/>
  <c r="F18" i="8" s="1"/>
  <c r="P18" i="8" s="1"/>
  <c r="S18" i="8" s="1"/>
  <c r="T18" i="8" s="1"/>
  <c r="D18" i="8"/>
  <c r="C18" i="8"/>
  <c r="X17" i="8"/>
  <c r="N17" i="8"/>
  <c r="M17" i="8"/>
  <c r="L17" i="8"/>
  <c r="K17" i="8"/>
  <c r="J17" i="8"/>
  <c r="I17" i="8"/>
  <c r="H17" i="8"/>
  <c r="R17" i="8" s="1"/>
  <c r="E17" i="8"/>
  <c r="G17" i="8" s="1"/>
  <c r="Q17" i="8" s="1"/>
  <c r="D17" i="8"/>
  <c r="C17" i="8"/>
  <c r="R16" i="8"/>
  <c r="N16" i="8"/>
  <c r="M16" i="8"/>
  <c r="L16" i="8"/>
  <c r="K16" i="8"/>
  <c r="J16" i="8"/>
  <c r="O16" i="8" s="1"/>
  <c r="I16" i="8"/>
  <c r="X16" i="8" s="1"/>
  <c r="H16" i="8"/>
  <c r="E16" i="8"/>
  <c r="G16" i="8" s="1"/>
  <c r="Q16" i="8" s="1"/>
  <c r="D16" i="8"/>
  <c r="C16" i="8"/>
  <c r="O15" i="8"/>
  <c r="U15" i="8" s="1"/>
  <c r="N15" i="8"/>
  <c r="M15" i="8"/>
  <c r="L15" i="8"/>
  <c r="K15" i="8"/>
  <c r="J15" i="8"/>
  <c r="I15" i="8"/>
  <c r="X15" i="8" s="1"/>
  <c r="H15" i="8"/>
  <c r="R15" i="8" s="1"/>
  <c r="G15" i="8"/>
  <c r="Q15" i="8" s="1"/>
  <c r="F15" i="8"/>
  <c r="P15" i="8" s="1"/>
  <c r="S15" i="8" s="1"/>
  <c r="T15" i="8" s="1"/>
  <c r="E15" i="8"/>
  <c r="D15" i="8"/>
  <c r="C15" i="8"/>
  <c r="R14" i="8"/>
  <c r="N14" i="8"/>
  <c r="X14" i="8" s="1"/>
  <c r="M14" i="8"/>
  <c r="L14" i="8"/>
  <c r="K14" i="8"/>
  <c r="J14" i="8"/>
  <c r="I14" i="8"/>
  <c r="H14" i="8"/>
  <c r="E14" i="8"/>
  <c r="O14" i="8" s="1"/>
  <c r="D14" i="8"/>
  <c r="C14" i="8"/>
  <c r="O13" i="8"/>
  <c r="U13" i="8" s="1"/>
  <c r="N13" i="8"/>
  <c r="M13" i="8"/>
  <c r="R13" i="8" s="1"/>
  <c r="L13" i="8"/>
  <c r="K13" i="8"/>
  <c r="J13" i="8"/>
  <c r="I13" i="8"/>
  <c r="X13" i="8" s="1"/>
  <c r="H13" i="8"/>
  <c r="E13" i="8"/>
  <c r="G13" i="8" s="1"/>
  <c r="Q13" i="8" s="1"/>
  <c r="D13" i="8"/>
  <c r="C13" i="8"/>
  <c r="O12" i="8"/>
  <c r="N12" i="8"/>
  <c r="M12" i="8"/>
  <c r="L12" i="8"/>
  <c r="K12" i="8"/>
  <c r="J12" i="8"/>
  <c r="I12" i="8"/>
  <c r="X12" i="8" s="1"/>
  <c r="H12" i="8"/>
  <c r="R12" i="8" s="1"/>
  <c r="G12" i="8"/>
  <c r="Q12" i="8" s="1"/>
  <c r="U12" i="8" s="1"/>
  <c r="E12" i="8"/>
  <c r="F12" i="8" s="1"/>
  <c r="P12" i="8" s="1"/>
  <c r="S12" i="8" s="1"/>
  <c r="T12" i="8" s="1"/>
  <c r="D12" i="8"/>
  <c r="C12" i="8"/>
  <c r="X11" i="8"/>
  <c r="N11" i="8"/>
  <c r="M11" i="8"/>
  <c r="L11" i="8"/>
  <c r="K11" i="8"/>
  <c r="J11" i="8"/>
  <c r="I11" i="8"/>
  <c r="H11" i="8"/>
  <c r="R11" i="8" s="1"/>
  <c r="E11" i="8"/>
  <c r="G11" i="8" s="1"/>
  <c r="Q11" i="8" s="1"/>
  <c r="D11" i="8"/>
  <c r="C11" i="8"/>
  <c r="O10" i="8"/>
  <c r="N10" i="8"/>
  <c r="M10" i="8"/>
  <c r="L10" i="8"/>
  <c r="K10" i="8"/>
  <c r="J10" i="8"/>
  <c r="I10" i="8"/>
  <c r="X10" i="8" s="1"/>
  <c r="H10" i="8"/>
  <c r="R10" i="8" s="1"/>
  <c r="E10" i="8"/>
  <c r="G10" i="8" s="1"/>
  <c r="Q10" i="8" s="1"/>
  <c r="U10" i="8" s="1"/>
  <c r="D10" i="8"/>
  <c r="C10" i="8"/>
  <c r="O9" i="8"/>
  <c r="U9" i="8" s="1"/>
  <c r="N9" i="8"/>
  <c r="M9" i="8"/>
  <c r="L9" i="8"/>
  <c r="K9" i="8"/>
  <c r="J9" i="8"/>
  <c r="I9" i="8"/>
  <c r="X9" i="8" s="1"/>
  <c r="H9" i="8"/>
  <c r="R9" i="8" s="1"/>
  <c r="G9" i="8"/>
  <c r="Q9" i="8" s="1"/>
  <c r="F9" i="8"/>
  <c r="P9" i="8" s="1"/>
  <c r="S9" i="8" s="1"/>
  <c r="T9" i="8" s="1"/>
  <c r="E9" i="8"/>
  <c r="D9" i="8"/>
  <c r="C9" i="8"/>
  <c r="R8" i="8"/>
  <c r="N8" i="8"/>
  <c r="X8" i="8" s="1"/>
  <c r="M8" i="8"/>
  <c r="L8" i="8"/>
  <c r="K8" i="8"/>
  <c r="J8" i="8"/>
  <c r="I8" i="8"/>
  <c r="H8" i="8"/>
  <c r="E8" i="8"/>
  <c r="O8" i="8" s="1"/>
  <c r="D8" i="8"/>
  <c r="C8" i="8"/>
  <c r="O7" i="8"/>
  <c r="N7" i="8"/>
  <c r="M7" i="8"/>
  <c r="L7" i="8"/>
  <c r="K7" i="8"/>
  <c r="J7" i="8"/>
  <c r="I7" i="8"/>
  <c r="X7" i="8" s="1"/>
  <c r="H7" i="8"/>
  <c r="R7" i="8" s="1"/>
  <c r="E7" i="8"/>
  <c r="G7" i="8" s="1"/>
  <c r="Q7" i="8" s="1"/>
  <c r="D7" i="8"/>
  <c r="C7" i="8"/>
  <c r="O6" i="8"/>
  <c r="N6" i="8"/>
  <c r="M6" i="8"/>
  <c r="L6" i="8"/>
  <c r="K6" i="8"/>
  <c r="J6" i="8"/>
  <c r="I6" i="8"/>
  <c r="X6" i="8" s="1"/>
  <c r="H6" i="8"/>
  <c r="R6" i="8" s="1"/>
  <c r="G6" i="8"/>
  <c r="Q6" i="8" s="1"/>
  <c r="U6" i="8" s="1"/>
  <c r="E6" i="8"/>
  <c r="F6" i="8" s="1"/>
  <c r="P6" i="8" s="1"/>
  <c r="S6" i="8" s="1"/>
  <c r="T6" i="8" s="1"/>
  <c r="D6" i="8"/>
  <c r="C6" i="8"/>
  <c r="X5" i="8"/>
  <c r="N5" i="8"/>
  <c r="M5" i="8"/>
  <c r="L5" i="8"/>
  <c r="K5" i="8"/>
  <c r="J5" i="8"/>
  <c r="I5" i="8"/>
  <c r="H5" i="8"/>
  <c r="R5" i="8" s="1"/>
  <c r="E5" i="8"/>
  <c r="G5" i="8" s="1"/>
  <c r="Q5" i="8" s="1"/>
  <c r="D5" i="8"/>
  <c r="C5" i="8"/>
  <c r="O4" i="8"/>
  <c r="N4" i="8"/>
  <c r="M4" i="8"/>
  <c r="L4" i="8"/>
  <c r="K4" i="8"/>
  <c r="J4" i="8"/>
  <c r="I4" i="8"/>
  <c r="X4" i="8" s="1"/>
  <c r="H4" i="8"/>
  <c r="R4" i="8" s="1"/>
  <c r="E4" i="8"/>
  <c r="G4" i="8" s="1"/>
  <c r="Q4" i="8" s="1"/>
  <c r="U4" i="8" s="1"/>
  <c r="D4" i="8"/>
  <c r="C4" i="8"/>
  <c r="H29" i="7"/>
  <c r="G29" i="7"/>
  <c r="F29" i="7"/>
  <c r="E29" i="7"/>
  <c r="D29" i="7"/>
  <c r="C29" i="7"/>
  <c r="H28" i="7"/>
  <c r="G28" i="7"/>
  <c r="F28" i="7"/>
  <c r="E28" i="7"/>
  <c r="D28" i="7"/>
  <c r="C28" i="7"/>
  <c r="I27" i="7"/>
  <c r="J27" i="7" s="1"/>
  <c r="H27" i="7"/>
  <c r="G27" i="7"/>
  <c r="F27" i="7"/>
  <c r="E27" i="7"/>
  <c r="D27" i="7"/>
  <c r="C27" i="7"/>
  <c r="H26" i="7"/>
  <c r="G26" i="7"/>
  <c r="F26" i="7"/>
  <c r="E26" i="7"/>
  <c r="D26" i="7"/>
  <c r="C26" i="7"/>
  <c r="H25" i="7"/>
  <c r="G25" i="7"/>
  <c r="F25" i="7"/>
  <c r="E25" i="7"/>
  <c r="D25" i="7"/>
  <c r="C25" i="7"/>
  <c r="I24" i="7"/>
  <c r="J24" i="7" s="1"/>
  <c r="H24" i="7"/>
  <c r="G24" i="7"/>
  <c r="F24" i="7"/>
  <c r="E24" i="7"/>
  <c r="D24" i="7"/>
  <c r="C24" i="7"/>
  <c r="H23" i="7"/>
  <c r="G23" i="7"/>
  <c r="F23" i="7"/>
  <c r="E23" i="7"/>
  <c r="D23" i="7"/>
  <c r="C23" i="7"/>
  <c r="H22" i="7"/>
  <c r="G22" i="7"/>
  <c r="I22" i="7" s="1"/>
  <c r="F22" i="7"/>
  <c r="E22" i="7"/>
  <c r="D22" i="7"/>
  <c r="C22" i="7"/>
  <c r="I21" i="7"/>
  <c r="J21" i="7" s="1"/>
  <c r="H21" i="7"/>
  <c r="G21" i="7"/>
  <c r="F21" i="7"/>
  <c r="E21" i="7"/>
  <c r="D21" i="7"/>
  <c r="C21" i="7"/>
  <c r="H20" i="7"/>
  <c r="G20" i="7"/>
  <c r="F20" i="7"/>
  <c r="E20" i="7"/>
  <c r="D20" i="7"/>
  <c r="C20" i="7"/>
  <c r="H19" i="7"/>
  <c r="G19" i="7"/>
  <c r="F19" i="7"/>
  <c r="E19" i="7"/>
  <c r="D19" i="7"/>
  <c r="C19" i="7"/>
  <c r="I18" i="7"/>
  <c r="J18" i="7" s="1"/>
  <c r="H18" i="7"/>
  <c r="G18" i="7"/>
  <c r="F18" i="7"/>
  <c r="E18" i="7"/>
  <c r="D18" i="7"/>
  <c r="C18" i="7"/>
  <c r="H17" i="7"/>
  <c r="G17" i="7"/>
  <c r="F17" i="7"/>
  <c r="E17" i="7"/>
  <c r="D17" i="7"/>
  <c r="C17" i="7"/>
  <c r="H16" i="7"/>
  <c r="G16" i="7"/>
  <c r="F16" i="7"/>
  <c r="E16" i="7"/>
  <c r="D16" i="7"/>
  <c r="C16" i="7"/>
  <c r="I15" i="7"/>
  <c r="J15" i="7" s="1"/>
  <c r="H15" i="7"/>
  <c r="G15" i="7"/>
  <c r="F15" i="7"/>
  <c r="E15" i="7"/>
  <c r="D15" i="7"/>
  <c r="C15" i="7"/>
  <c r="H14" i="7"/>
  <c r="G14" i="7"/>
  <c r="F14" i="7"/>
  <c r="E14" i="7"/>
  <c r="D14" i="7"/>
  <c r="C14" i="7"/>
  <c r="H13" i="7"/>
  <c r="G13" i="7"/>
  <c r="F13" i="7"/>
  <c r="E13" i="7"/>
  <c r="D13" i="7"/>
  <c r="C13" i="7"/>
  <c r="I12" i="7"/>
  <c r="J12" i="7" s="1"/>
  <c r="H12" i="7"/>
  <c r="G12" i="7"/>
  <c r="F12" i="7"/>
  <c r="E12" i="7"/>
  <c r="D12" i="7"/>
  <c r="C12" i="7"/>
  <c r="E7" i="7"/>
  <c r="D7" i="7"/>
  <c r="E5" i="1" s="1"/>
  <c r="C7" i="7"/>
  <c r="B7" i="7"/>
  <c r="E6" i="7"/>
  <c r="D6" i="7"/>
  <c r="F6" i="7" s="1"/>
  <c r="C6" i="7"/>
  <c r="B6" i="7"/>
  <c r="E5" i="7"/>
  <c r="D5" i="7"/>
  <c r="C5" i="7"/>
  <c r="B5" i="7"/>
  <c r="A22" i="2"/>
  <c r="A21" i="2"/>
  <c r="A20" i="2"/>
  <c r="A19" i="2"/>
  <c r="A18" i="2"/>
  <c r="B13" i="2"/>
  <c r="B11" i="2"/>
  <c r="B12" i="1"/>
  <c r="B10" i="1"/>
  <c r="A5" i="1"/>
  <c r="V18" i="8" l="1"/>
  <c r="W18" i="8" s="1"/>
  <c r="H40" i="8"/>
  <c r="E21" i="2" s="1"/>
  <c r="U32" i="8"/>
  <c r="V32" i="8" s="1"/>
  <c r="W32" i="8" s="1"/>
  <c r="J19" i="7"/>
  <c r="U7" i="8"/>
  <c r="W12" i="8"/>
  <c r="V12" i="8"/>
  <c r="U22" i="8"/>
  <c r="B40" i="8"/>
  <c r="J29" i="7"/>
  <c r="H39" i="8"/>
  <c r="E20" i="2" s="1"/>
  <c r="V15" i="8"/>
  <c r="W15" i="8" s="1"/>
  <c r="V30" i="8"/>
  <c r="W30" i="8" s="1"/>
  <c r="V6" i="8"/>
  <c r="W6" i="8" s="1"/>
  <c r="J14" i="7"/>
  <c r="W9" i="8"/>
  <c r="V9" i="8"/>
  <c r="H38" i="8"/>
  <c r="E19" i="2" s="1"/>
  <c r="C12" i="2"/>
  <c r="C11" i="1"/>
  <c r="J16" i="7"/>
  <c r="U19" i="8"/>
  <c r="U21" i="8"/>
  <c r="V21" i="8" s="1"/>
  <c r="W21" i="8" s="1"/>
  <c r="S26" i="8"/>
  <c r="T26" i="8" s="1"/>
  <c r="V27" i="8"/>
  <c r="W27" i="8" s="1"/>
  <c r="U16" i="8"/>
  <c r="T24" i="8"/>
  <c r="J28" i="7"/>
  <c r="H37" i="8"/>
  <c r="E18" i="2" s="1"/>
  <c r="H41" i="8"/>
  <c r="E22" i="2" s="1"/>
  <c r="I16" i="7"/>
  <c r="I19" i="7"/>
  <c r="G6" i="7"/>
  <c r="O31" i="8"/>
  <c r="S33" i="8"/>
  <c r="T33" i="8" s="1"/>
  <c r="F14" i="8"/>
  <c r="P14" i="8" s="1"/>
  <c r="S14" i="8" s="1"/>
  <c r="T14" i="8" s="1"/>
  <c r="B11" i="1"/>
  <c r="F7" i="8"/>
  <c r="P7" i="8" s="1"/>
  <c r="S7" i="8" s="1"/>
  <c r="T7" i="8" s="1"/>
  <c r="F13" i="8"/>
  <c r="P13" i="8" s="1"/>
  <c r="S13" i="8" s="1"/>
  <c r="T13" i="8" s="1"/>
  <c r="F19" i="8"/>
  <c r="P19" i="8" s="1"/>
  <c r="S19" i="8" s="1"/>
  <c r="T19" i="8" s="1"/>
  <c r="F25" i="8"/>
  <c r="P25" i="8" s="1"/>
  <c r="S25" i="8" s="1"/>
  <c r="T25" i="8" s="1"/>
  <c r="F31" i="8"/>
  <c r="P31" i="8" s="1"/>
  <c r="F20" i="8"/>
  <c r="P20" i="8" s="1"/>
  <c r="S20" i="8" s="1"/>
  <c r="T20" i="8" s="1"/>
  <c r="G14" i="8"/>
  <c r="Q14" i="8" s="1"/>
  <c r="U14" i="8" s="1"/>
  <c r="G20" i="8"/>
  <c r="Q20" i="8" s="1"/>
  <c r="U20" i="8" s="1"/>
  <c r="G26" i="8"/>
  <c r="Q26" i="8" s="1"/>
  <c r="U26" i="8" s="1"/>
  <c r="I14" i="7"/>
  <c r="I20" i="7"/>
  <c r="J20" i="7" s="1"/>
  <c r="I26" i="7"/>
  <c r="J26" i="7" s="1"/>
  <c r="O11" i="8"/>
  <c r="B38" i="8" s="1"/>
  <c r="O17" i="8"/>
  <c r="O23" i="8"/>
  <c r="O29" i="8"/>
  <c r="F8" i="8"/>
  <c r="P8" i="8" s="1"/>
  <c r="S8" i="8" s="1"/>
  <c r="T8" i="8" s="1"/>
  <c r="F26" i="8"/>
  <c r="P26" i="8" s="1"/>
  <c r="G8" i="8"/>
  <c r="Q8" i="8" s="1"/>
  <c r="U8" i="8" s="1"/>
  <c r="B12" i="2"/>
  <c r="F5" i="7"/>
  <c r="F7" i="7"/>
  <c r="I17" i="7"/>
  <c r="J17" i="7" s="1"/>
  <c r="I23" i="7"/>
  <c r="J23" i="7" s="1"/>
  <c r="I29" i="7"/>
  <c r="O5" i="8"/>
  <c r="O28" i="8"/>
  <c r="B37" i="8"/>
  <c r="F5" i="8"/>
  <c r="P5" i="8" s="1"/>
  <c r="F11" i="8"/>
  <c r="P11" i="8" s="1"/>
  <c r="F17" i="8"/>
  <c r="P17" i="8" s="1"/>
  <c r="F23" i="8"/>
  <c r="P23" i="8" s="1"/>
  <c r="F29" i="8"/>
  <c r="P29" i="8" s="1"/>
  <c r="I13" i="7"/>
  <c r="J13" i="7" s="1"/>
  <c r="I25" i="7"/>
  <c r="J25" i="7" s="1"/>
  <c r="J22" i="7"/>
  <c r="F16" i="8"/>
  <c r="P16" i="8" s="1"/>
  <c r="S16" i="8" s="1"/>
  <c r="F22" i="8"/>
  <c r="P22" i="8" s="1"/>
  <c r="S22" i="8" s="1"/>
  <c r="F28" i="8"/>
  <c r="P28" i="8" s="1"/>
  <c r="I28" i="7"/>
  <c r="F4" i="8"/>
  <c r="P4" i="8" s="1"/>
  <c r="S4" i="8" s="1"/>
  <c r="F10" i="8"/>
  <c r="P10" i="8" s="1"/>
  <c r="S10" i="8" s="1"/>
  <c r="T10" i="8" l="1"/>
  <c r="V8" i="8"/>
  <c r="W8" i="8" s="1"/>
  <c r="V19" i="8"/>
  <c r="W19" i="8" s="1"/>
  <c r="V20" i="8"/>
  <c r="W20" i="8" s="1"/>
  <c r="C37" i="8"/>
  <c r="T4" i="8"/>
  <c r="V25" i="8"/>
  <c r="W25" i="8" s="1"/>
  <c r="T22" i="8"/>
  <c r="V13" i="8"/>
  <c r="W13" i="8" s="1"/>
  <c r="V14" i="8"/>
  <c r="W14" i="8" s="1"/>
  <c r="C39" i="8"/>
  <c r="T16" i="8"/>
  <c r="V7" i="8"/>
  <c r="W7" i="8" s="1"/>
  <c r="E39" i="8"/>
  <c r="E40" i="8"/>
  <c r="U17" i="8"/>
  <c r="S17" i="8"/>
  <c r="T17" i="8" s="1"/>
  <c r="C12" i="1"/>
  <c r="C13" i="2"/>
  <c r="V33" i="8"/>
  <c r="W33" i="8" s="1"/>
  <c r="B39" i="8"/>
  <c r="U11" i="8"/>
  <c r="E38" i="8" s="1"/>
  <c r="S11" i="8"/>
  <c r="T11" i="8" s="1"/>
  <c r="U31" i="8"/>
  <c r="S31" i="8"/>
  <c r="T31" i="8" s="1"/>
  <c r="C11" i="2"/>
  <c r="C10" i="1"/>
  <c r="V24" i="8"/>
  <c r="W24" i="8" s="1"/>
  <c r="V26" i="8"/>
  <c r="W26" i="8" s="1"/>
  <c r="G7" i="7"/>
  <c r="D12" i="2"/>
  <c r="D11" i="1"/>
  <c r="B41" i="8"/>
  <c r="S28" i="8"/>
  <c r="U28" i="8"/>
  <c r="E41" i="8" s="1"/>
  <c r="U29" i="8"/>
  <c r="S29" i="8"/>
  <c r="T29" i="8" s="1"/>
  <c r="U5" i="8"/>
  <c r="E37" i="8" s="1"/>
  <c r="S5" i="8"/>
  <c r="T5" i="8" s="1"/>
  <c r="U23" i="8"/>
  <c r="S23" i="8"/>
  <c r="T23" i="8" s="1"/>
  <c r="G5" i="7"/>
  <c r="C41" i="8" l="1"/>
  <c r="T28" i="8"/>
  <c r="D37" i="8"/>
  <c r="V4" i="8"/>
  <c r="F37" i="8" s="1"/>
  <c r="V31" i="8"/>
  <c r="W31" i="8" s="1"/>
  <c r="D11" i="2"/>
  <c r="D10" i="1"/>
  <c r="D39" i="8"/>
  <c r="V16" i="8"/>
  <c r="F39" i="8" s="1"/>
  <c r="C20" i="2" s="1"/>
  <c r="D13" i="2"/>
  <c r="C5" i="1"/>
  <c r="D12" i="1"/>
  <c r="G5" i="1"/>
  <c r="V17" i="8"/>
  <c r="W17" i="8" s="1"/>
  <c r="D40" i="8"/>
  <c r="V22" i="8"/>
  <c r="F40" i="8" s="1"/>
  <c r="C21" i="2" s="1"/>
  <c r="W22" i="8"/>
  <c r="D38" i="8"/>
  <c r="V10" i="8"/>
  <c r="F38" i="8" s="1"/>
  <c r="C19" i="2" s="1"/>
  <c r="W11" i="8"/>
  <c r="V11" i="8"/>
  <c r="V23" i="8"/>
  <c r="W23" i="8" s="1"/>
  <c r="V5" i="8"/>
  <c r="W5" i="8"/>
  <c r="V29" i="8"/>
  <c r="W29" i="8" s="1"/>
  <c r="C40" i="8"/>
  <c r="C38" i="8"/>
  <c r="B19" i="2" l="1"/>
  <c r="F19" i="2" s="1"/>
  <c r="G38" i="8"/>
  <c r="B15" i="9"/>
  <c r="C7" i="2"/>
  <c r="C18" i="2"/>
  <c r="C14" i="2"/>
  <c r="W16" i="8"/>
  <c r="G40" i="8"/>
  <c r="B17" i="9"/>
  <c r="B21" i="2"/>
  <c r="F21" i="2" s="1"/>
  <c r="B14" i="2"/>
  <c r="A7" i="2"/>
  <c r="B14" i="9"/>
  <c r="B18" i="2"/>
  <c r="F18" i="2" s="1"/>
  <c r="G37" i="8"/>
  <c r="B20" i="2"/>
  <c r="F20" i="2" s="1"/>
  <c r="G39" i="8"/>
  <c r="B16" i="9"/>
  <c r="W4" i="8"/>
  <c r="V28" i="8"/>
  <c r="F41" i="8" s="1"/>
  <c r="C22" i="2" s="1"/>
  <c r="D41" i="8"/>
  <c r="W10" i="8"/>
  <c r="C14" i="9" l="1"/>
  <c r="D18" i="2"/>
  <c r="G18" i="2" s="1"/>
  <c r="D14" i="2"/>
  <c r="E7" i="2"/>
  <c r="G7" i="2" s="1"/>
  <c r="B18" i="9"/>
  <c r="B22" i="2"/>
  <c r="F22" i="2" s="1"/>
  <c r="G41" i="8"/>
  <c r="W28" i="8"/>
  <c r="C17" i="9"/>
  <c r="D21" i="2"/>
  <c r="G21" i="2" s="1"/>
  <c r="D20" i="2"/>
  <c r="G20" i="2" s="1"/>
  <c r="C16" i="9"/>
  <c r="C15" i="9"/>
  <c r="D19" i="2"/>
  <c r="G19" i="2" s="1"/>
  <c r="C18" i="9" l="1"/>
  <c r="D22" i="2"/>
  <c r="G22" i="2" s="1"/>
</calcChain>
</file>

<file path=xl/sharedStrings.xml><?xml version="1.0" encoding="utf-8"?>
<sst xmlns="http://schemas.openxmlformats.org/spreadsheetml/2006/main" count="5471" uniqueCount="161">
  <si>
    <t>Period</t>
  </si>
  <si>
    <t>Year</t>
  </si>
  <si>
    <t>Month</t>
  </si>
  <si>
    <t>Region</t>
  </si>
  <si>
    <t>Channel</t>
  </si>
  <si>
    <t>Customer_Segment</t>
  </si>
  <si>
    <t>SKU_ID</t>
  </si>
  <si>
    <t>Units_Sold</t>
  </si>
  <si>
    <t>Avg_Selling_Price</t>
  </si>
  <si>
    <t>Discount_%</t>
  </si>
  <si>
    <t>Gross_Revenue</t>
  </si>
  <si>
    <t>Net_Revenue</t>
  </si>
  <si>
    <t>Unit_Cost</t>
  </si>
  <si>
    <t>Total_Cost</t>
  </si>
  <si>
    <t>Gross_Margin</t>
  </si>
  <si>
    <t>Gross_Margin_%</t>
  </si>
  <si>
    <t>Marketing_Spend</t>
  </si>
  <si>
    <t>Promo_Flag</t>
  </si>
  <si>
    <t>Jan</t>
  </si>
  <si>
    <t>North</t>
  </si>
  <si>
    <t>Online</t>
  </si>
  <si>
    <t>Retail Customer</t>
  </si>
  <si>
    <t>LAP-AIR-13</t>
  </si>
  <si>
    <t>No</t>
  </si>
  <si>
    <t>South</t>
  </si>
  <si>
    <t>Retail</t>
  </si>
  <si>
    <t>Student</t>
  </si>
  <si>
    <t>West</t>
  </si>
  <si>
    <t>Direct Sales</t>
  </si>
  <si>
    <t>Enterprise</t>
  </si>
  <si>
    <t>East</t>
  </si>
  <si>
    <t>Distributor</t>
  </si>
  <si>
    <t>SME</t>
  </si>
  <si>
    <t>LAP-PRO-15</t>
  </si>
  <si>
    <t>TAB-LITE-10</t>
  </si>
  <si>
    <t>ACC-MSE-WL</t>
  </si>
  <si>
    <t>SW-OFF-365</t>
  </si>
  <si>
    <t>WAR-EXT-2Y</t>
  </si>
  <si>
    <t>Feb</t>
  </si>
  <si>
    <t>Mar</t>
  </si>
  <si>
    <t>Yes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</si>
  <si>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</si>
  <si>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</si>
  <si>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</si>
  <si>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</si>
  <si>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</si>
  <si>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</si>
  <si>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</si>
  <si>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</si>
  <si>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</si>
  <si>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Vantage Tech Supplies Ltd — Actuals Overview (2023-2025)</t>
  </si>
  <si>
    <t>UK Region | How we got here: revenue, margin, and where the erosion is coming from</t>
  </si>
  <si>
    <t>Net revenue growth (23-25)</t>
  </si>
  <si>
    <t>Gross margin % change</t>
  </si>
  <si>
    <t>2025 Net Revenue</t>
  </si>
  <si>
    <t>2025 Gross Margin %</t>
  </si>
  <si>
    <t>Net revenue, gross margin &amp; GM% — 2023-2025 actual</t>
  </si>
  <si>
    <t>Key diagnostic findings</t>
  </si>
  <si>
    <t>• Not discounting — weighted avg. discount flat at ~10% company-wide, all 3 years.</t>
  </si>
  <si>
    <t>• Not mix shift — revenue share by category/channel/segment/region barely moved.</t>
  </si>
  <si>
    <t>• Unit cost inflation (+12.1%) is outrunning price growth (+7.6%) on every SKU.</t>
  </si>
  <si>
    <t>• Laptops = 62% of revenue and the fastest-eroding margin category.</t>
  </si>
  <si>
    <t>• Distributor channel: largest (31% of revenue) and structurally lowest-margin.</t>
  </si>
  <si>
    <t>Vantage Tech Supplies Ltd — 2026 Scenario Forecast</t>
  </si>
  <si>
    <t>UK Region | Pick a scenario below to flex the whole forecast</t>
  </si>
  <si>
    <t>Select scenario:</t>
  </si>
  <si>
    <t>Base Case</t>
  </si>
  <si>
    <t>← choose one of the 5 scenarios; all figures below update automatically</t>
  </si>
  <si>
    <t>2026F Net Revenue</t>
  </si>
  <si>
    <t>2026F Gross Margin</t>
  </si>
  <si>
    <t>2026F Gross Margin %</t>
  </si>
  <si>
    <t>GM% vs 2025 Actual</t>
  </si>
  <si>
    <t>Net revenue, gross margin &amp; GM% — 2023-2026F</t>
  </si>
  <si>
    <t>2026F</t>
  </si>
  <si>
    <t>All scenarios — 2026 forecast comparison</t>
  </si>
  <si>
    <t>Scenario</t>
  </si>
  <si>
    <t>Net_Revenue_2026</t>
  </si>
  <si>
    <t>Gross_Margin_2026</t>
  </si>
  <si>
    <t>Gross_Margin_%_2026</t>
  </si>
  <si>
    <t>Marketing_Spend_2026</t>
  </si>
  <si>
    <t>Rev_vs_2025</t>
  </si>
  <si>
    <t>GM%_vs_2025_pp</t>
  </si>
  <si>
    <t>Product_Name</t>
  </si>
  <si>
    <t>Product_Category</t>
  </si>
  <si>
    <t>Brand</t>
  </si>
  <si>
    <t>Launch_Date</t>
  </si>
  <si>
    <t>Lifecycle_Stage</t>
  </si>
  <si>
    <t>Base_Price</t>
  </si>
  <si>
    <t>Standard_Cost</t>
  </si>
  <si>
    <t>Target_Margin_%</t>
  </si>
  <si>
    <t>Base_Monthly_Demand</t>
  </si>
  <si>
    <t>Seasonality_Profile</t>
  </si>
  <si>
    <t>Strategic_Priority</t>
  </si>
  <si>
    <t>AeroBook 13 Laptop</t>
  </si>
  <si>
    <t>Laptop</t>
  </si>
  <si>
    <t>AeroTech</t>
  </si>
  <si>
    <t>Growth</t>
  </si>
  <si>
    <t>Student and festive demand</t>
  </si>
  <si>
    <t>High</t>
  </si>
  <si>
    <t>ProBook 15 Laptop</t>
  </si>
  <si>
    <t>ProEdge</t>
  </si>
  <si>
    <t>Mature</t>
  </si>
  <si>
    <t>Enterprise and year-end demand</t>
  </si>
  <si>
    <t>LiteTab 10 Tablet</t>
  </si>
  <si>
    <t>Tablet</t>
  </si>
  <si>
    <t>TabNova</t>
  </si>
  <si>
    <t>Student and online demand</t>
  </si>
  <si>
    <t>Medium</t>
  </si>
  <si>
    <t>Wireless Mouse</t>
  </si>
  <si>
    <t>Accessories</t>
  </si>
  <si>
    <t>ClickPro</t>
  </si>
  <si>
    <t>High-volume add-on demand</t>
  </si>
  <si>
    <t>Office Software Bundle</t>
  </si>
  <si>
    <t>Software</t>
  </si>
  <si>
    <t>WorkSuite</t>
  </si>
  <si>
    <t>SME and enterprise renewal demand</t>
  </si>
  <si>
    <t>Extended Warranty 2Y</t>
  </si>
  <si>
    <t>Warranty</t>
  </si>
  <si>
    <t>AssurePlus</t>
  </si>
  <si>
    <t>Attached to laptop and tablet sales</t>
  </si>
  <si>
    <t>Unit Growth %</t>
  </si>
  <si>
    <t>Price Change %</t>
  </si>
  <si>
    <t>Cost Inflation %</t>
  </si>
  <si>
    <t>Discount Change %</t>
  </si>
  <si>
    <t>Marketing Spend Change %</t>
  </si>
  <si>
    <t>Optimistic</t>
  </si>
  <si>
    <t>Pessimistic</t>
  </si>
  <si>
    <t>Margin Recovery</t>
  </si>
  <si>
    <t>Growth Push</t>
  </si>
  <si>
    <t>Note: blue cells are editable scenario inputs. Change any value to flex the 2026 forecast.</t>
  </si>
  <si>
    <t>forecasting</t>
  </si>
  <si>
    <t>The company has grown revenue strongly from 2023 to 2025, but gross margin percentage has declined from around 26.1% to 23.0%. Management wants a 2026 forecast and scenario model to decide whether to prioritise aggressive revenue growth, margin recovery, or balanced expansion. Participants must recommend one scenario to the board and explain trade-offs across revenue, margin, marketing spend, product mix, and channel performance.</t>
  </si>
  <si>
    <t>Vantage Tech Supplies Ltd — Actuals Summary (2023-2025)</t>
  </si>
  <si>
    <t>Company-wide yearly totals</t>
  </si>
  <si>
    <t>Yearly breakdown by SKU</t>
  </si>
  <si>
    <t>Vantage Tech Supplies Ltd — 2026 Scenario Forecast (SKU level)</t>
  </si>
  <si>
    <t>Base_Units_2025</t>
  </si>
  <si>
    <t>Base_Price_2025</t>
  </si>
  <si>
    <t>Base_UnitCost_2025</t>
  </si>
  <si>
    <t>Base_Discount_2025</t>
  </si>
  <si>
    <t>Base_Marketing_2025</t>
  </si>
  <si>
    <t>Unit_Growth_%</t>
  </si>
  <si>
    <t>Price_Change_%</t>
  </si>
  <si>
    <t>Cost_Inflation_%</t>
  </si>
  <si>
    <t>Discount_Change_pp</t>
  </si>
  <si>
    <t>Marketing_Change_%</t>
  </si>
  <si>
    <t>Units_2026</t>
  </si>
  <si>
    <t>Price_2026</t>
  </si>
  <si>
    <t>UnitCost_2026</t>
  </si>
  <si>
    <t>Discount_2026</t>
  </si>
  <si>
    <t>Gross_Revenue_2026</t>
  </si>
  <si>
    <t>COGS_2026</t>
  </si>
  <si>
    <t>Marketing_2026</t>
  </si>
  <si>
    <t>Scenario totals — 2026 forecast</t>
  </si>
  <si>
    <t>Helper tables driving Dashboard charts (formula-linked, do not delete)</t>
  </si>
  <si>
    <t>2025 Net Revenue by Channel</t>
  </si>
  <si>
    <t>2025 Net Revenue by Product Category</t>
  </si>
  <si>
    <t>2025 Actual margin vs target, by SKU</t>
  </si>
  <si>
    <t>Category</t>
  </si>
  <si>
    <t>Actual_GM_%</t>
  </si>
  <si>
    <t>2026 Scenario comparison (for chart)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</si>
</sst>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+0.0%;\-0.0%"/>
    <numFmt numFmtId="165" formatCode="0.0%"/>
    <numFmt numFmtId="166" formatCode="mmm\-yyyy"/>
    <numFmt numFmtId="167" formatCode="\£#,##0.00"/>
  </numFmts>
  <fonts count="17" x14ac:knownFonts="1">
    <font>
      <sz val="11"/>
      <name val="Calibri"/>
      <charset val="1"/>
    </font>
    <font>
      <b/>
      <sz val="16"/>
      <name val="Arial"/>
      <charset val="1"/>
    </font>
    <font>
      <i/>
      <sz val="9"/>
      <color rgb="FF808080"/>
      <name val="Arial"/>
      <charset val="1"/>
    </font>
    <font>
      <sz val="9"/>
      <color rgb="FF808080"/>
      <name val="Arial"/>
      <charset val="1"/>
    </font>
    <font>
      <b/>
      <sz val="16"/>
      <color rgb="FFC00000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0"/>
      <name val="Arial"/>
      <charset val="1"/>
    </font>
    <font>
      <b/>
      <sz val="11"/>
      <color rgb="FF0000FF"/>
      <name val="Arial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sz val="11"/>
      <color rgb="FF0000FF"/>
      <name val="Arial"/>
      <charset val="1"/>
    </font>
    <font>
      <b/>
      <sz val="11"/>
      <color theme="0"/>
      <name val="Calibri"/>
      <charset val="1"/>
    </font>
    <font>
      <b/>
      <sz val="14"/>
      <name val="Arial"/>
      <charset val="1"/>
    </font>
    <font>
      <b/>
      <sz val="11"/>
      <name val="Calibri"/>
      <family val="2"/>
    </font>
    <font>
      <b/>
      <sz val="11"/>
      <color rgb="FF808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7" fillId="0" borderId="1" xfId="0" applyFont="1" applyBorder="1"/>
    <xf numFmtId="3" fontId="7" fillId="0" borderId="1" xfId="0" applyNumberFormat="1" applyFont="1" applyBorder="1"/>
    <xf numFmtId="165" fontId="7" fillId="0" borderId="1" xfId="0" applyNumberFormat="1" applyFont="1" applyBorder="1"/>
    <xf numFmtId="0" fontId="9" fillId="3" borderId="1" xfId="0" applyFont="1" applyFill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/>
    <xf numFmtId="165" fontId="5" fillId="0" borderId="1" xfId="0" applyNumberFormat="1" applyFont="1" applyBorder="1"/>
    <xf numFmtId="0" fontId="6" fillId="2" borderId="1" xfId="0" applyFont="1" applyFill="1" applyBorder="1" applyAlignment="1">
      <alignment horizontal="center" wrapText="1"/>
    </xf>
    <xf numFmtId="164" fontId="7" fillId="0" borderId="1" xfId="0" applyNumberFormat="1" applyFont="1" applyBorder="1"/>
    <xf numFmtId="0" fontId="10" fillId="2" borderId="0" xfId="0" applyFont="1" applyFill="1" applyAlignment="1">
      <alignment horizontal="center" vertical="center" wrapText="1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6" fillId="2" borderId="0" xfId="0" applyFont="1" applyFill="1" applyAlignment="1">
      <alignment horizontal="center" wrapText="1"/>
    </xf>
    <xf numFmtId="0" fontId="11" fillId="0" borderId="0" xfId="0" applyFont="1" applyAlignment="1">
      <alignment horizontal="left" vertical="center" wrapText="1"/>
    </xf>
    <xf numFmtId="165" fontId="12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3" fillId="4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3" fontId="0" fillId="0" borderId="1" xfId="0" applyNumberFormat="1" applyBorder="1"/>
    <xf numFmtId="165" fontId="0" fillId="0" borderId="1" xfId="0" applyNumberFormat="1" applyBorder="1"/>
    <xf numFmtId="4" fontId="7" fillId="0" borderId="1" xfId="0" applyNumberFormat="1" applyFont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wrapText="1"/>
    </xf>
    <xf numFmtId="0" fontId="0" fillId="0" borderId="1" xfId="0" applyBorder="1"/>
    <xf numFmtId="0" fontId="2" fillId="0" borderId="0" xfId="0" applyFont="1"/>
    <xf numFmtId="0" fontId="0" fillId="0" borderId="0" xfId="0"/>
    <xf numFmtId="0" fontId="3" fillId="0" borderId="0" xfId="0" applyFont="1"/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8" fillId="0" borderId="0" xfId="0" applyFont="1"/>
    <xf numFmtId="164" fontId="4" fillId="0" borderId="0" xfId="0" applyNumberFormat="1" applyFont="1"/>
    <xf numFmtId="0" fontId="14" fillId="0" borderId="0" xfId="0" applyFont="1"/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7B7B7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Net revenue vs gross margin %, 2023-2025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'1_Actuals_Overview'!$B$9</c:f>
              <c:strCache>
                <c:ptCount val="1"/>
                <c:pt idx="0">
                  <c:v>Net_Revenue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'1_Actuals_Overview'!$A$10:$A$12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'1_Actuals_Overview'!$B$10:$B$12</c:f>
              <c:numCache>
                <c:formatCode>#,##0</c:formatCode>
                <c:ptCount val="3"/>
                <c:pt idx="0">
                  <c:v>9095479.5700000003</c:v>
                </c:pt>
                <c:pt idx="1">
                  <c:v>10782900.160000002</c:v>
                </c:pt>
                <c:pt idx="2">
                  <c:v>12796433.260000015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7-4E4B-B00A-33A5EA421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49906"/>
        <c:axId val="65761962"/>
      </c:barChart>
      <c:lineChart>
        <c:grouping val="standard"/>
        <c:varyColors val="0"/>
        <c:ser>
          <c:idx val="1"/>
          <c:order val="1"/>
          <c:tx>
            <c:strRef>
              <c:f>'1_Actuals_Overview'!$D$9</c:f>
              <c:strCache>
                <c:ptCount val="1"/>
                <c:pt idx="0">
                  <c:v>Gross_Margin_%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'1_Actuals_Overview'!$A$10:$A$12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'1_Actuals_Overview'!$D$10:$D$12</c:f>
              <c:numCache>
                <c:formatCode>0.0%</c:formatCode>
                <c:ptCount val="3"/>
                <c:pt idx="0">
                  <c:v>0.26117869340670768</c:v>
                </c:pt>
                <c:pt idx="1">
                  <c:v>0.24717467754055514</c:v>
                </c:pt>
                <c:pt idx="2">
                  <c:v>0.22986676601476719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B7-4E4B-B00A-33A5EA421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lt1"/>
              </a:solidFill>
              <a:round/>
            </a:ln>
            <a:effectLst/>
          </c:spPr>
        </c:hiLowLines>
        <c:marker val="1"/>
        <c:smooth val="0"/>
        <c:axId val="89523367"/>
        <c:axId val="21040758"/>
      </c:lineChart>
      <c:catAx>
        <c:axId val="84499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61962"/>
        <c:crosses val="autoZero"/>
        <c:auto val="1"/>
        <c:lblAlgn val="ctr"/>
        <c:lblOffset val="100"/>
        <c:noMultiLvlLbl val="0"/>
      </c:catAx>
      <c:valAx>
        <c:axId val="657619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 revenue (£)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9906"/>
        <c:crosses val="autoZero"/>
        <c:crossBetween val="between"/>
      </c:valAx>
      <c:catAx>
        <c:axId val="89523367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21040758"/>
        <c:crosses val="autoZero"/>
        <c:auto val="1"/>
        <c:lblAlgn val="ctr"/>
        <c:lblOffset val="100"/>
        <c:noMultiLvlLbl val="0"/>
      </c:catAx>
      <c:valAx>
        <c:axId val="2104075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Gross 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23367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2025 Actual margin vs target, by SKU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Chart_Data!$H$4</c:f>
              <c:strCache>
                <c:ptCount val="1"/>
                <c:pt idx="0">
                  <c:v>Actual_GM_%</c:v>
                </c:pt>
              </c:strCache>
            </c:strRef>
          </c:tx>
          <c:spPr>
            <a:solidFill>
              <a:srgbClr val="156082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Chart_Data!$G$5:$G$10</c:f>
              <c:strCache>
                <c:ptCount val="6"/>
                <c:pt idx="0">
                  <c:v>AeroBook 13 Laptop</c:v>
                </c:pt>
                <c:pt idx="1">
                  <c:v>ProBook 15 Laptop</c:v>
                </c:pt>
                <c:pt idx="2">
                  <c:v>LiteTab 10 Tablet</c:v>
                </c:pt>
                <c:pt idx="3">
                  <c:v>Wireless Mouse</c:v>
                </c:pt>
                <c:pt idx="4">
                  <c:v>Office Software Bundle</c:v>
                </c:pt>
                <c:pt idx="5">
                  <c:v>Extended Warranty 2Y</c:v>
                </c:pt>
              </c:strCache>
            </c:strRef>
          </c:cat>
          <c:val>
            <c:numRef>
              <c:f>Chart_Data!$H$5:$H$10</c:f>
              <c:numCache>
                <c:formatCode>0.0%</c:formatCode>
                <c:ptCount val="6"/>
                <c:pt idx="0">
                  <c:v>0.13595480525049713</c:v>
                </c:pt>
                <c:pt idx="1">
                  <c:v>9.724449378064165E-2</c:v>
                </c:pt>
                <c:pt idx="2">
                  <c:v>0.21078429801428197</c:v>
                </c:pt>
                <c:pt idx="3">
                  <c:v>0.41868205581686418</c:v>
                </c:pt>
                <c:pt idx="4">
                  <c:v>0.75788646652044067</c:v>
                </c:pt>
                <c:pt idx="5">
                  <c:v>0.84613685265439731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C-42B5-A2A8-F88228CFFA36}"/>
            </c:ext>
          </c:extLst>
        </c:ser>
        <c:ser>
          <c:idx val="1"/>
          <c:order val="1"/>
          <c:tx>
            <c:strRef>
              <c:f>Chart_Data!$I$4</c:f>
              <c:strCache>
                <c:ptCount val="1"/>
                <c:pt idx="0">
                  <c:v>Target_Margin_%</c:v>
                </c:pt>
              </c:strCache>
            </c:strRef>
          </c:tx>
          <c:spPr>
            <a:solidFill>
              <a:srgbClr val="E97132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Chart_Data!$G$5:$G$10</c:f>
              <c:strCache>
                <c:ptCount val="6"/>
                <c:pt idx="0">
                  <c:v>AeroBook 13 Laptop</c:v>
                </c:pt>
                <c:pt idx="1">
                  <c:v>ProBook 15 Laptop</c:v>
                </c:pt>
                <c:pt idx="2">
                  <c:v>LiteTab 10 Tablet</c:v>
                </c:pt>
                <c:pt idx="3">
                  <c:v>Wireless Mouse</c:v>
                </c:pt>
                <c:pt idx="4">
                  <c:v>Office Software Bundle</c:v>
                </c:pt>
                <c:pt idx="5">
                  <c:v>Extended Warranty 2Y</c:v>
                </c:pt>
              </c:strCache>
            </c:strRef>
          </c:cat>
          <c:val>
            <c:numRef>
              <c:f>Chart_Data!$I$5:$I$10</c:f>
              <c:numCache>
                <c:formatCode>0.0%</c:formatCode>
                <c:ptCount val="6"/>
                <c:pt idx="0">
                  <c:v>0.25</c:v>
                </c:pt>
                <c:pt idx="1">
                  <c:v>0.22</c:v>
                </c:pt>
                <c:pt idx="2">
                  <c:v>0.32</c:v>
                </c:pt>
                <c:pt idx="3">
                  <c:v>0.5</c:v>
                </c:pt>
                <c:pt idx="4">
                  <c:v>0.78</c:v>
                </c:pt>
                <c:pt idx="5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C-42B5-A2A8-F88228CFF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86712"/>
        <c:axId val="97765695"/>
      </c:barChart>
      <c:catAx>
        <c:axId val="5468671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7765695"/>
        <c:crosses val="autoZero"/>
        <c:auto val="1"/>
        <c:lblAlgn val="ctr"/>
        <c:lblOffset val="100"/>
        <c:noMultiLvlLbl val="0"/>
      </c:catAx>
      <c:valAx>
        <c:axId val="9776569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468671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2025 Net Revenue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Chart_Data!$B$4</c:f>
              <c:strCache>
                <c:ptCount val="1"/>
                <c:pt idx="0">
                  <c:v>Net_Revenue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FA-4198-89E7-17BEC59DE2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4FA-4198-89E7-17BEC59DE2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4FA-4198-89E7-17BEC59DE2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4FA-4198-89E7-17BEC59DE23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1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Chart_Data!$A$5:$A$8</c:f>
              <c:strCache>
                <c:ptCount val="4"/>
                <c:pt idx="0">
                  <c:v>Online</c:v>
                </c:pt>
                <c:pt idx="1">
                  <c:v>Retail</c:v>
                </c:pt>
                <c:pt idx="2">
                  <c:v>Direct Sales</c:v>
                </c:pt>
                <c:pt idx="3">
                  <c:v>Distributor</c:v>
                </c:pt>
              </c:strCache>
            </c:strRef>
          </c:cat>
          <c:val>
            <c:numRef>
              <c:f>Chart_Data!$B$5:$B$8</c:f>
              <c:numCache>
                <c:formatCode>#,##0</c:formatCode>
                <c:ptCount val="4"/>
                <c:pt idx="0">
                  <c:v>3992078.2599999993</c:v>
                </c:pt>
                <c:pt idx="1">
                  <c:v>3066349.9000000008</c:v>
                </c:pt>
                <c:pt idx="2">
                  <c:v>1717358.3899999997</c:v>
                </c:pt>
                <c:pt idx="3">
                  <c:v>4020646.71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FA-4198-89E7-17BEC59DE23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2025 Net 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Chart_Data!$E$4</c:f>
              <c:strCache>
                <c:ptCount val="1"/>
                <c:pt idx="0">
                  <c:v>Net_Revenue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1D-4280-B4DA-D86B029568E8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1D-4280-B4DA-D86B029568E8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1D-4280-B4DA-D86B029568E8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1D-4280-B4DA-D86B029568E8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11D-4280-B4DA-D86B029568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1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Chart_Data!$D$5:$D$9</c:f>
              <c:strCache>
                <c:ptCount val="5"/>
                <c:pt idx="0">
                  <c:v>Laptop</c:v>
                </c:pt>
                <c:pt idx="1">
                  <c:v>Tablet</c:v>
                </c:pt>
                <c:pt idx="2">
                  <c:v>Software</c:v>
                </c:pt>
                <c:pt idx="3">
                  <c:v>Accessories</c:v>
                </c:pt>
                <c:pt idx="4">
                  <c:v>Warranty</c:v>
                </c:pt>
              </c:strCache>
            </c:strRef>
          </c:cat>
          <c:val>
            <c:numRef>
              <c:f>Chart_Data!$E$5:$E$9</c:f>
              <c:numCache>
                <c:formatCode>#,##0</c:formatCode>
                <c:ptCount val="5"/>
                <c:pt idx="0">
                  <c:v>7975974.1499999985</c:v>
                </c:pt>
                <c:pt idx="1">
                  <c:v>2792436.3700000006</c:v>
                </c:pt>
                <c:pt idx="2">
                  <c:v>979571.14</c:v>
                </c:pt>
                <c:pt idx="3">
                  <c:v>499870.79</c:v>
                </c:pt>
                <c:pt idx="4">
                  <c:v>548580.80999999994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1D-4280-B4DA-D86B02956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Net revenue vs gross margin %, 2023-2026F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'2_2026_Forecast'!$B$10</c:f>
              <c:strCache>
                <c:ptCount val="1"/>
                <c:pt idx="0">
                  <c:v>Net_Revenue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'2_2026_Forecast'!$A$11:$A$14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2026F</c:v>
                </c:pt>
              </c:strCache>
            </c:strRef>
          </c:cat>
          <c:val>
            <c:numRef>
              <c:f>'2_2026_Forecast'!$B$11:$B$14</c:f>
              <c:numCache>
                <c:formatCode>#,##0</c:formatCode>
                <c:ptCount val="4"/>
                <c:pt idx="0">
                  <c:v>9095479.5700000003</c:v>
                </c:pt>
                <c:pt idx="1">
                  <c:v>10782900.160000002</c:v>
                </c:pt>
                <c:pt idx="2">
                  <c:v>12796433.260000015</c:v>
                </c:pt>
                <c:pt idx="3">
                  <c:v>14145685.8277476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B-44CB-A97A-61A0A0501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66641"/>
        <c:axId val="15413655"/>
      </c:barChart>
      <c:lineChart>
        <c:grouping val="standard"/>
        <c:varyColors val="0"/>
        <c:ser>
          <c:idx val="1"/>
          <c:order val="1"/>
          <c:tx>
            <c:strRef>
              <c:f>'2_2026_Forecast'!$D$10</c:f>
              <c:strCache>
                <c:ptCount val="1"/>
                <c:pt idx="0">
                  <c:v>Gross_Margin_%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'2_2026_Forecast'!$A$11:$A$14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2026F</c:v>
                </c:pt>
              </c:strCache>
            </c:strRef>
          </c:cat>
          <c:val>
            <c:numRef>
              <c:f>'2_2026_Forecast'!$D$11:$D$14</c:f>
              <c:numCache>
                <c:formatCode>0.0%</c:formatCode>
                <c:ptCount val="4"/>
                <c:pt idx="0">
                  <c:v>0.26117869340670768</c:v>
                </c:pt>
                <c:pt idx="1">
                  <c:v>0.24717467754055514</c:v>
                </c:pt>
                <c:pt idx="2">
                  <c:v>0.22986676601476719</c:v>
                </c:pt>
                <c:pt idx="3">
                  <c:v>0.26117519869101102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3B-44CB-A97A-61A0A0501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lt1"/>
              </a:solidFill>
              <a:round/>
            </a:ln>
            <a:effectLst/>
          </c:spPr>
        </c:hiLowLines>
        <c:marker val="1"/>
        <c:smooth val="0"/>
        <c:axId val="39659357"/>
        <c:axId val="65597579"/>
      </c:lineChart>
      <c:catAx>
        <c:axId val="92666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3655"/>
        <c:crosses val="autoZero"/>
        <c:auto val="1"/>
        <c:lblAlgn val="ctr"/>
        <c:lblOffset val="100"/>
        <c:noMultiLvlLbl val="0"/>
      </c:catAx>
      <c:valAx>
        <c:axId val="15413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 revenue (£)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6641"/>
        <c:crosses val="autoZero"/>
        <c:crossBetween val="between"/>
      </c:valAx>
      <c:catAx>
        <c:axId val="39659357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65597579"/>
        <c:crosses val="autoZero"/>
        <c:auto val="1"/>
        <c:lblAlgn val="ctr"/>
        <c:lblOffset val="100"/>
        <c:noMultiLvlLbl val="0"/>
      </c:catAx>
      <c:valAx>
        <c:axId val="655975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Gross 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59357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2026 Scenario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Chart_Data!$B$13</c:f>
              <c:strCache>
                <c:ptCount val="1"/>
                <c:pt idx="0">
                  <c:v>Net_Revenue_2026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Chart_Data!$A$14:$A$18</c:f>
              <c:strCache>
                <c:ptCount val="5"/>
                <c:pt idx="0">
                  <c:v>Base Case</c:v>
                </c:pt>
                <c:pt idx="1">
                  <c:v>Optimistic</c:v>
                </c:pt>
                <c:pt idx="2">
                  <c:v>Pessimistic</c:v>
                </c:pt>
                <c:pt idx="3">
                  <c:v>Margin Recovery</c:v>
                </c:pt>
                <c:pt idx="4">
                  <c:v>Growth Push</c:v>
                </c:pt>
              </c:strCache>
            </c:strRef>
          </c:cat>
          <c:val>
            <c:numRef>
              <c:f>Chart_Data!$B$14:$B$18</c:f>
              <c:numCache>
                <c:formatCode>#,##0</c:formatCode>
                <c:ptCount val="5"/>
                <c:pt idx="0">
                  <c:v>14096550.879216</c:v>
                </c:pt>
                <c:pt idx="1">
                  <c:v>15339366.467493121</c:v>
                </c:pt>
                <c:pt idx="2">
                  <c:v>12763439.019791998</c:v>
                </c:pt>
                <c:pt idx="3">
                  <c:v>14145685.8277476</c:v>
                </c:pt>
                <c:pt idx="4">
                  <c:v>14744409.278877916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F-4AA7-B23E-0E5F440DC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832772"/>
        <c:axId val="74065295"/>
      </c:barChart>
      <c:lineChart>
        <c:grouping val="standard"/>
        <c:varyColors val="0"/>
        <c:ser>
          <c:idx val="1"/>
          <c:order val="1"/>
          <c:tx>
            <c:strRef>
              <c:f>Chart_Data!$C$13</c:f>
              <c:strCache>
                <c:ptCount val="1"/>
                <c:pt idx="0">
                  <c:v>Gross_Margin_%_2026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Chart_Data!$A$14:$A$18</c:f>
              <c:strCache>
                <c:ptCount val="5"/>
                <c:pt idx="0">
                  <c:v>Base Case</c:v>
                </c:pt>
                <c:pt idx="1">
                  <c:v>Optimistic</c:v>
                </c:pt>
                <c:pt idx="2">
                  <c:v>Pessimistic</c:v>
                </c:pt>
                <c:pt idx="3">
                  <c:v>Margin Recovery</c:v>
                </c:pt>
                <c:pt idx="4">
                  <c:v>Growth Push</c:v>
                </c:pt>
              </c:strCache>
            </c:strRef>
          </c:cat>
          <c:val>
            <c:numRef>
              <c:f>Chart_Data!$C$14:$C$18</c:f>
              <c:numCache>
                <c:formatCode>0.0%</c:formatCode>
                <c:ptCount val="5"/>
                <c:pt idx="0">
                  <c:v>0.21476611436799745</c:v>
                </c:pt>
                <c:pt idx="1">
                  <c:v>0.25294530233902301</c:v>
                </c:pt>
                <c:pt idx="2">
                  <c:v>0.1494281204451651</c:v>
                </c:pt>
                <c:pt idx="3">
                  <c:v>0.26117519869101102</c:v>
                </c:pt>
                <c:pt idx="4">
                  <c:v>0.1718695956058518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FF-4AA7-B23E-0E5F440DC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35162225"/>
        <c:axId val="53121451"/>
      </c:lineChart>
      <c:catAx>
        <c:axId val="978327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65295"/>
        <c:crosses val="autoZero"/>
        <c:auto val="1"/>
        <c:lblAlgn val="ctr"/>
        <c:lblOffset val="100"/>
        <c:noMultiLvlLbl val="0"/>
      </c:catAx>
      <c:valAx>
        <c:axId val="7406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 revenue (£)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32772"/>
        <c:crosses val="autoZero"/>
        <c:crossBetween val="between"/>
      </c:valAx>
      <c:catAx>
        <c:axId val="35162225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53121451"/>
        <c:crosses val="autoZero"/>
        <c:auto val="1"/>
        <c:lblAlgn val="ctr"/>
        <c:lblOffset val="100"/>
        <c:noMultiLvlLbl val="0"/>
      </c:catAx>
      <c:valAx>
        <c:axId val="5312145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Gross 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6222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5</xdr:col>
      <xdr:colOff>352740</xdr:colOff>
      <xdr:row>37</xdr:row>
      <xdr:rowOff>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771525</xdr:colOff>
      <xdr:row>24</xdr:row>
      <xdr:rowOff>114300</xdr:rowOff>
    </xdr:from>
    <xdr:to>
      <xdr:col>18</xdr:col>
      <xdr:colOff>392445</xdr:colOff>
      <xdr:row>41</xdr:row>
      <xdr:rowOff>115020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868680</xdr:colOff>
      <xdr:row>6</xdr:row>
      <xdr:rowOff>68580</xdr:rowOff>
    </xdr:from>
    <xdr:to>
      <xdr:col>12</xdr:col>
      <xdr:colOff>239220</xdr:colOff>
      <xdr:row>24</xdr:row>
      <xdr:rowOff>66780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285750</xdr:colOff>
      <xdr:row>6</xdr:row>
      <xdr:rowOff>66675</xdr:rowOff>
    </xdr:from>
    <xdr:to>
      <xdr:col>20</xdr:col>
      <xdr:colOff>94080</xdr:colOff>
      <xdr:row>24</xdr:row>
      <xdr:rowOff>66780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6</xdr:col>
      <xdr:colOff>588960</xdr:colOff>
      <xdr:row>43</xdr:row>
      <xdr:rowOff>149400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662940</xdr:colOff>
      <xdr:row>22</xdr:row>
      <xdr:rowOff>175260</xdr:rowOff>
    </xdr:from>
    <xdr:to>
      <xdr:col>19</xdr:col>
      <xdr:colOff>55260</xdr:colOff>
      <xdr:row>43</xdr:row>
      <xdr:rowOff>141780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Table" displayName="SalesDataTable" ref="A1:R865" totalsRowShown="0">
  <tableColumns count="18">
    <tableColumn id="1" xr3:uid="{00000000-0010-0000-0000-000001000000}" name="Period"/>
    <tableColumn id="2" xr3:uid="{00000000-0010-0000-0000-000002000000}" name="Year"/>
    <tableColumn id="3" xr3:uid="{00000000-0010-0000-0000-000003000000}" name="Month"/>
    <tableColumn id="4" xr3:uid="{00000000-0010-0000-0000-000004000000}" name="Region"/>
    <tableColumn id="5" xr3:uid="{00000000-0010-0000-0000-000005000000}" name="Channel"/>
    <tableColumn id="6" xr3:uid="{00000000-0010-0000-0000-000006000000}" name="Customer_Segment"/>
    <tableColumn id="7" xr3:uid="{00000000-0010-0000-0000-000007000000}" name="SKU_ID"/>
    <tableColumn id="8" xr3:uid="{00000000-0010-0000-0000-000008000000}" name="Units_Sold"/>
    <tableColumn id="9" xr3:uid="{00000000-0010-0000-0000-000009000000}" name="Avg_Selling_Price"/>
    <tableColumn id="10" xr3:uid="{00000000-0010-0000-0000-00000A000000}" name="Discount_%"/>
    <tableColumn id="11" xr3:uid="{00000000-0010-0000-0000-00000B000000}" name="Gross_Revenue"/>
    <tableColumn id="12" xr3:uid="{00000000-0010-0000-0000-00000C000000}" name="Net_Revenue"/>
    <tableColumn id="13" xr3:uid="{00000000-0010-0000-0000-00000D000000}" name="Unit_Cost"/>
    <tableColumn id="14" xr3:uid="{00000000-0010-0000-0000-00000E000000}" name="Total_Cost"/>
    <tableColumn id="15" xr3:uid="{00000000-0010-0000-0000-00000F000000}" name="Gross_Margin"/>
    <tableColumn id="16" xr3:uid="{00000000-0010-0000-0000-000010000000}" name="Gross_Margin_%"/>
    <tableColumn id="17" xr3:uid="{00000000-0010-0000-0000-000011000000}" name="Marketing_Spend"/>
    <tableColumn id="18" xr3:uid="{00000000-0010-0000-0000-000012000000}" name="Promo_Flag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sterDataTable" displayName="MasterDataTable" ref="A1:L7" totalsRowShown="0">
  <tableColumns count="12">
    <tableColumn id="1" xr3:uid="{00000000-0010-0000-0100-000001000000}" name="SKU_ID"/>
    <tableColumn id="2" xr3:uid="{00000000-0010-0000-0100-000002000000}" name="Product_Name"/>
    <tableColumn id="3" xr3:uid="{00000000-0010-0000-0100-000003000000}" name="Product_Category"/>
    <tableColumn id="4" xr3:uid="{00000000-0010-0000-0100-000004000000}" name="Brand"/>
    <tableColumn id="5" xr3:uid="{00000000-0010-0000-0100-000005000000}" name="Launch_Date"/>
    <tableColumn id="6" xr3:uid="{00000000-0010-0000-0100-000006000000}" name="Lifecycle_Stage"/>
    <tableColumn id="7" xr3:uid="{00000000-0010-0000-0100-000007000000}" name="Base_Price"/>
    <tableColumn id="8" xr3:uid="{00000000-0010-0000-0100-000008000000}" name="Standard_Cost"/>
    <tableColumn id="9" xr3:uid="{00000000-0010-0000-0100-000009000000}" name="Target_Margin_%"/>
    <tableColumn id="10" xr3:uid="{00000000-0010-0000-0100-00000A000000}" name="Base_Monthly_Demand"/>
    <tableColumn id="11" xr3:uid="{00000000-0010-0000-0100-00000B000000}" name="Seasonality_Profile"/>
    <tableColumn id="12" xr3:uid="{00000000-0010-0000-0100-00000C000000}" name="Strategic_Priorit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80" zoomScaleNormal="80" workbookViewId="0">
      <selection activeCell="I5" sqref="I5"/>
    </sheetView>
  </sheetViews>
  <sheetFormatPr defaultColWidth="8.6640625" defaultRowHeight="14.4" x14ac:dyDescent="0.3"/>
  <cols>
    <col min="1" max="1" width="16" customWidth="1"/>
    <col min="2" max="3" width="15" customWidth="1"/>
    <col min="4" max="4" width="17.77734375" customWidth="1"/>
    <col min="5" max="6" width="13" customWidth="1"/>
    <col min="7" max="7" width="15" customWidth="1"/>
    <col min="8" max="8" width="13" customWidth="1"/>
  </cols>
  <sheetData>
    <row r="1" spans="1:8" ht="19.5" customHeight="1" x14ac:dyDescent="0.4">
      <c r="A1" s="35" t="s">
        <v>50</v>
      </c>
      <c r="B1" s="33"/>
      <c r="C1" s="33"/>
      <c r="D1" s="33"/>
      <c r="E1" s="33"/>
      <c r="F1" s="33"/>
      <c r="G1" s="33"/>
      <c r="H1" s="33"/>
    </row>
    <row r="2" spans="1:8" ht="15" customHeight="1" x14ac:dyDescent="0.3">
      <c r="A2" s="32" t="s">
        <v>51</v>
      </c>
      <c r="B2" s="33"/>
      <c r="C2" s="33"/>
      <c r="D2" s="33"/>
      <c r="E2" s="33"/>
      <c r="F2" s="33"/>
      <c r="G2" s="33"/>
      <c r="H2" s="33"/>
    </row>
    <row r="4" spans="1:8" ht="15" customHeight="1" x14ac:dyDescent="0.3">
      <c r="A4" s="43" t="s">
        <v>52</v>
      </c>
      <c r="B4" s="42"/>
      <c r="C4" s="43" t="s">
        <v>53</v>
      </c>
      <c r="D4" s="42"/>
      <c r="E4" s="43" t="s">
        <v>54</v>
      </c>
      <c r="F4" s="42"/>
      <c r="G4" s="43" t="s">
        <v>55</v>
      </c>
      <c r="H4" s="42"/>
    </row>
    <row r="5" spans="1:8" ht="19.5" customHeight="1" x14ac:dyDescent="0.4">
      <c r="A5" s="37">
        <f>Actuals_Summary!D7/Actuals_Summary!D5-1</f>
        <v>0.40690033565761885</v>
      </c>
      <c r="B5" s="33"/>
      <c r="C5" s="40">
        <f>Actuals_Summary!G7-Actuals_Summary!G5</f>
        <v>-3.1311927391940497E-2</v>
      </c>
      <c r="D5" s="33"/>
      <c r="E5" s="36">
        <f>Actuals_Summary!D7</f>
        <v>12796433.260000015</v>
      </c>
      <c r="F5" s="33"/>
      <c r="G5" s="38">
        <f>Actuals_Summary!G7</f>
        <v>0.22986676601476719</v>
      </c>
      <c r="H5" s="33"/>
    </row>
    <row r="8" spans="1:8" ht="15" customHeight="1" x14ac:dyDescent="0.3">
      <c r="A8" s="2" t="s">
        <v>56</v>
      </c>
    </row>
    <row r="9" spans="1:8" ht="15" customHeight="1" x14ac:dyDescent="0.3">
      <c r="A9" s="3" t="s">
        <v>1</v>
      </c>
      <c r="B9" s="3" t="s">
        <v>11</v>
      </c>
      <c r="C9" s="3" t="s">
        <v>14</v>
      </c>
      <c r="D9" s="3" t="s">
        <v>15</v>
      </c>
    </row>
    <row r="10" spans="1:8" ht="15" customHeight="1" x14ac:dyDescent="0.3">
      <c r="A10" s="4">
        <v>2023</v>
      </c>
      <c r="B10" s="5">
        <f>INDEX(Actuals_Summary!$D$5:$D$7,MATCH($A10,Actuals_Summary!$A$5:$A$7,0))</f>
        <v>9095479.5700000003</v>
      </c>
      <c r="C10" s="5">
        <f>INDEX(Actuals_Summary!$F$5:$F$7,MATCH($A10,Actuals_Summary!$A$5:$A$7,0))</f>
        <v>2375545.4700000035</v>
      </c>
      <c r="D10" s="6">
        <f>INDEX(Actuals_Summary!$G$5:$G$7,MATCH($A10,Actuals_Summary!$A$5:$A$7,0))</f>
        <v>0.26117869340670768</v>
      </c>
    </row>
    <row r="11" spans="1:8" ht="15" customHeight="1" x14ac:dyDescent="0.3">
      <c r="A11" s="4">
        <v>2024</v>
      </c>
      <c r="B11" s="5">
        <f>INDEX(Actuals_Summary!$D$5:$D$7,MATCH($A11,Actuals_Summary!$A$5:$A$7,0))</f>
        <v>10782900.160000002</v>
      </c>
      <c r="C11" s="5">
        <f>INDEX(Actuals_Summary!$F$5:$F$7,MATCH($A11,Actuals_Summary!$A$5:$A$7,0))</f>
        <v>2665259.870000001</v>
      </c>
      <c r="D11" s="6">
        <f>INDEX(Actuals_Summary!$G$5:$G$7,MATCH($A11,Actuals_Summary!$A$5:$A$7,0))</f>
        <v>0.24717467754055514</v>
      </c>
    </row>
    <row r="12" spans="1:8" ht="15" customHeight="1" x14ac:dyDescent="0.3">
      <c r="A12" s="4">
        <v>2025</v>
      </c>
      <c r="B12" s="5">
        <f>INDEX(Actuals_Summary!$D$5:$D$7,MATCH($A12,Actuals_Summary!$A$5:$A$7,0))</f>
        <v>12796433.260000015</v>
      </c>
      <c r="C12" s="5">
        <f>INDEX(Actuals_Summary!$F$5:$F$7,MATCH($A12,Actuals_Summary!$A$5:$A$7,0))</f>
        <v>2941474.7300000079</v>
      </c>
      <c r="D12" s="6">
        <f>INDEX(Actuals_Summary!$G$5:$G$7,MATCH($A12,Actuals_Summary!$A$5:$A$7,0))</f>
        <v>0.22986676601476719</v>
      </c>
    </row>
    <row r="14" spans="1:8" ht="15" customHeight="1" x14ac:dyDescent="0.3">
      <c r="A14" s="2" t="s">
        <v>57</v>
      </c>
    </row>
    <row r="15" spans="1:8" ht="15" customHeight="1" x14ac:dyDescent="0.3">
      <c r="A15" s="39" t="s">
        <v>58</v>
      </c>
      <c r="B15" s="33"/>
      <c r="C15" s="33"/>
      <c r="D15" s="33"/>
      <c r="E15" s="33"/>
      <c r="F15" s="33"/>
      <c r="G15" s="33"/>
      <c r="H15" s="33"/>
    </row>
    <row r="16" spans="1:8" ht="15" customHeight="1" x14ac:dyDescent="0.3">
      <c r="A16" s="39" t="s">
        <v>59</v>
      </c>
      <c r="B16" s="33"/>
      <c r="C16" s="33"/>
      <c r="D16" s="33"/>
      <c r="E16" s="33"/>
      <c r="F16" s="33"/>
      <c r="G16" s="33"/>
      <c r="H16" s="33"/>
    </row>
    <row r="17" spans="1:8" ht="15" customHeight="1" x14ac:dyDescent="0.3">
      <c r="A17" s="39" t="s">
        <v>60</v>
      </c>
      <c r="B17" s="33"/>
      <c r="C17" s="33"/>
      <c r="D17" s="33"/>
      <c r="E17" s="33"/>
      <c r="F17" s="33"/>
      <c r="G17" s="33"/>
      <c r="H17" s="33"/>
    </row>
    <row r="18" spans="1:8" ht="15" customHeight="1" x14ac:dyDescent="0.3">
      <c r="A18" s="39" t="s">
        <v>61</v>
      </c>
      <c r="B18" s="33"/>
      <c r="C18" s="33"/>
      <c r="D18" s="33"/>
      <c r="E18" s="33"/>
      <c r="F18" s="33"/>
      <c r="G18" s="33"/>
      <c r="H18" s="33"/>
    </row>
    <row r="19" spans="1:8" ht="15" customHeight="1" x14ac:dyDescent="0.3">
      <c r="A19" s="39" t="s">
        <v>62</v>
      </c>
      <c r="B19" s="33"/>
      <c r="C19" s="33"/>
      <c r="D19" s="33"/>
      <c r="E19" s="33"/>
      <c r="F19" s="33"/>
      <c r="G19" s="33"/>
      <c r="H19" s="33"/>
    </row>
  </sheetData>
  <mergeCells count="15">
    <mergeCell ref="A19:H19"/>
    <mergeCell ref="A1:H1"/>
    <mergeCell ref="A17:H17"/>
    <mergeCell ref="A2:H2"/>
    <mergeCell ref="A16:H16"/>
    <mergeCell ref="C5:D5"/>
    <mergeCell ref="A5:B5"/>
    <mergeCell ref="G5:H5"/>
    <mergeCell ref="E5:F5"/>
    <mergeCell ref="C4:D4"/>
    <mergeCell ref="A4:B4"/>
    <mergeCell ref="G4:H4"/>
    <mergeCell ref="E4:F4"/>
    <mergeCell ref="A18:H18"/>
    <mergeCell ref="A15:H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9"/>
  <sheetViews>
    <sheetView showGridLines="0" tabSelected="1" topLeftCell="A7" zoomScaleNormal="100" workbookViewId="0">
      <selection activeCell="M26" sqref="M26"/>
    </sheetView>
  </sheetViews>
  <sheetFormatPr defaultColWidth="8.6640625" defaultRowHeight="14.4" x14ac:dyDescent="0.3"/>
  <cols>
    <col min="1" max="1" width="8" customWidth="1"/>
    <col min="2" max="2" width="14" customWidth="1"/>
    <col min="3" max="3" width="22" customWidth="1"/>
    <col min="4" max="4" width="14" customWidth="1"/>
    <col min="5" max="5" width="12" customWidth="1"/>
    <col min="6" max="7" width="14" customWidth="1"/>
    <col min="8" max="9" width="13" customWidth="1"/>
    <col min="10" max="10" width="14" customWidth="1"/>
  </cols>
  <sheetData>
    <row r="1" spans="1:10" ht="17.25" customHeight="1" x14ac:dyDescent="0.3">
      <c r="A1" s="41" t="s">
        <v>132</v>
      </c>
      <c r="B1" s="33"/>
      <c r="C1" s="33"/>
      <c r="D1" s="33"/>
      <c r="E1" s="33"/>
      <c r="F1" s="33"/>
      <c r="G1" s="33"/>
      <c r="H1" s="33"/>
    </row>
    <row r="3" spans="1:10" ht="15" customHeight="1" x14ac:dyDescent="0.3">
      <c r="A3" s="2" t="s">
        <v>133</v>
      </c>
    </row>
    <row r="4" spans="1:10" ht="26.25" customHeight="1" x14ac:dyDescent="0.3">
      <c r="A4" s="11" t="s">
        <v>1</v>
      </c>
      <c r="B4" s="11" t="s">
        <v>7</v>
      </c>
      <c r="C4" s="11" t="s">
        <v>10</v>
      </c>
      <c r="D4" s="11" t="s">
        <v>11</v>
      </c>
      <c r="E4" s="11" t="s">
        <v>13</v>
      </c>
      <c r="F4" s="11" t="s">
        <v>14</v>
      </c>
      <c r="G4" s="11" t="s">
        <v>15</v>
      </c>
    </row>
    <row r="5" spans="1:10" ht="15" customHeight="1" x14ac:dyDescent="0.3">
      <c r="A5" s="4">
        <v>2023</v>
      </c>
      <c r="B5" s="26">
        <f>SUMIFS(Sales_Data!$H$2:$H$865,Sales_Data!$B$2:$B$865,$A5)</f>
        <v>77492</v>
      </c>
      <c r="C5" s="26">
        <f>SUMIFS(Sales_Data!$K$2:$K$865,Sales_Data!$B$2:$B$865,$A5)</f>
        <v>10064190.810000001</v>
      </c>
      <c r="D5" s="26">
        <f>SUMIFS(Sales_Data!$L$2:$L$865,Sales_Data!$B$2:$B$865,$A5)</f>
        <v>9095479.5700000003</v>
      </c>
      <c r="E5" s="26">
        <f>SUMIFS(Sales_Data!$N$2:$N$865,Sales_Data!$B$2:$B$865,$A5)</f>
        <v>6719934.0999999968</v>
      </c>
      <c r="F5" s="26">
        <f>D5-E5</f>
        <v>2375545.4700000035</v>
      </c>
      <c r="G5" s="27">
        <f>IF(D5=0,0,F5/D5)</f>
        <v>0.26117869340670768</v>
      </c>
    </row>
    <row r="6" spans="1:10" ht="15" customHeight="1" x14ac:dyDescent="0.3">
      <c r="A6" s="4">
        <v>2024</v>
      </c>
      <c r="B6" s="26">
        <f>SUMIFS(Sales_Data!$H$2:$H$865,Sales_Data!$B$2:$B$865,$A6)</f>
        <v>88580</v>
      </c>
      <c r="C6" s="26">
        <f>SUMIFS(Sales_Data!$K$2:$K$865,Sales_Data!$B$2:$B$865,$A6)</f>
        <v>11932179.710000012</v>
      </c>
      <c r="D6" s="26">
        <f>SUMIFS(Sales_Data!$L$2:$L$865,Sales_Data!$B$2:$B$865,$A6)</f>
        <v>10782900.160000002</v>
      </c>
      <c r="E6" s="26">
        <f>SUMIFS(Sales_Data!$N$2:$N$865,Sales_Data!$B$2:$B$865,$A6)</f>
        <v>8117640.290000001</v>
      </c>
      <c r="F6" s="26">
        <f>D6-E6</f>
        <v>2665259.870000001</v>
      </c>
      <c r="G6" s="27">
        <f>IF(D6=0,0,F6/D6)</f>
        <v>0.24717467754055514</v>
      </c>
    </row>
    <row r="7" spans="1:10" ht="15" customHeight="1" x14ac:dyDescent="0.3">
      <c r="A7" s="4">
        <v>2025</v>
      </c>
      <c r="B7" s="26">
        <f>SUMIFS(Sales_Data!$H$2:$H$865,Sales_Data!$B$2:$B$865,$A7)</f>
        <v>101349</v>
      </c>
      <c r="C7" s="26">
        <f>SUMIFS(Sales_Data!$K$2:$K$865,Sales_Data!$B$2:$B$865,$A7)</f>
        <v>14162887.519999996</v>
      </c>
      <c r="D7" s="26">
        <f>SUMIFS(Sales_Data!$L$2:$L$865,Sales_Data!$B$2:$B$865,$A7)</f>
        <v>12796433.260000015</v>
      </c>
      <c r="E7" s="26">
        <f>SUMIFS(Sales_Data!$N$2:$N$865,Sales_Data!$B$2:$B$865,$A7)</f>
        <v>9854958.5300000068</v>
      </c>
      <c r="F7" s="26">
        <f>D7-E7</f>
        <v>2941474.7300000079</v>
      </c>
      <c r="G7" s="27">
        <f>IF(D7=0,0,F7/D7)</f>
        <v>0.22986676601476719</v>
      </c>
    </row>
    <row r="10" spans="1:10" ht="15" customHeight="1" x14ac:dyDescent="0.3">
      <c r="A10" s="2" t="s">
        <v>134</v>
      </c>
    </row>
    <row r="11" spans="1:10" ht="26.25" customHeight="1" x14ac:dyDescent="0.3">
      <c r="A11" s="11" t="s">
        <v>1</v>
      </c>
      <c r="B11" s="11" t="s">
        <v>6</v>
      </c>
      <c r="C11" s="11" t="s">
        <v>82</v>
      </c>
      <c r="D11" s="11" t="s">
        <v>86</v>
      </c>
      <c r="E11" s="11" t="s">
        <v>7</v>
      </c>
      <c r="F11" s="11" t="s">
        <v>10</v>
      </c>
      <c r="G11" s="11" t="s">
        <v>11</v>
      </c>
      <c r="H11" s="11" t="s">
        <v>13</v>
      </c>
      <c r="I11" s="11" t="s">
        <v>14</v>
      </c>
      <c r="J11" s="11" t="s">
        <v>15</v>
      </c>
    </row>
    <row r="12" spans="1:10" ht="15" customHeight="1" x14ac:dyDescent="0.3">
      <c r="A12" s="4">
        <v>2023</v>
      </c>
      <c r="B12" s="4" t="s">
        <v>22</v>
      </c>
      <c r="C12" s="4" t="str">
        <f>INDEX(Master_Data!$B$2:$B$7,MATCH($B12,Master_Data!$A$2:$A$7,0))</f>
        <v>AeroBook 13 Laptop</v>
      </c>
      <c r="D12" s="4" t="str">
        <f>INDEX(Master_Data!$F$2:$F$7,MATCH($B12,Master_Data!$A$2:$A$7,0))</f>
        <v>Growth</v>
      </c>
      <c r="E12" s="5">
        <f>SUMIFS(Sales_Data!$H$2:$H$865,Sales_Data!$B$2:$B$865,$A12,Sales_Data!$G$2:$G$865,$B12)</f>
        <v>6320</v>
      </c>
      <c r="F12" s="5">
        <f>SUMIFS(Sales_Data!$K$2:$K$865,Sales_Data!$B$2:$B$865,$A12,Sales_Data!$G$2:$G$865,$B12)</f>
        <v>3120397.1099999994</v>
      </c>
      <c r="G12" s="5">
        <f>SUMIFS(Sales_Data!$L$2:$L$865,Sales_Data!$B$2:$B$865,$A12,Sales_Data!$G$2:$G$865,$B12)</f>
        <v>2819759.99</v>
      </c>
      <c r="H12" s="5">
        <f>SUMIFS(Sales_Data!$N$2:$N$865,Sales_Data!$B$2:$B$865,$A12,Sales_Data!$G$2:$G$865,$B12)</f>
        <v>2336346.0500000007</v>
      </c>
      <c r="I12" s="5">
        <f t="shared" ref="I12:I29" si="0">G12-H12</f>
        <v>483413.93999999948</v>
      </c>
      <c r="J12" s="6">
        <f t="shared" ref="J12:J29" si="1">IF(G12=0,0,I12/G12)</f>
        <v>0.17143797405253611</v>
      </c>
    </row>
    <row r="13" spans="1:10" ht="15" customHeight="1" x14ac:dyDescent="0.3">
      <c r="A13" s="4">
        <v>2023</v>
      </c>
      <c r="B13" s="4" t="s">
        <v>33</v>
      </c>
      <c r="C13" s="4" t="str">
        <f>INDEX(Master_Data!$B$2:$B$7,MATCH($B13,Master_Data!$A$2:$A$7,0))</f>
        <v>ProBook 15 Laptop</v>
      </c>
      <c r="D13" s="4" t="str">
        <f>INDEX(Master_Data!$F$2:$F$7,MATCH($B13,Master_Data!$A$2:$A$7,0))</f>
        <v>Mature</v>
      </c>
      <c r="E13" s="5">
        <f>SUMIFS(Sales_Data!$H$2:$H$865,Sales_Data!$B$2:$B$865,$A13,Sales_Data!$G$2:$G$865,$B13)</f>
        <v>4542</v>
      </c>
      <c r="F13" s="5">
        <f>SUMIFS(Sales_Data!$K$2:$K$865,Sales_Data!$B$2:$B$865,$A13,Sales_Data!$G$2:$G$865,$B13)</f>
        <v>3182543.34</v>
      </c>
      <c r="G13" s="5">
        <f>SUMIFS(Sales_Data!$L$2:$L$865,Sales_Data!$B$2:$B$865,$A13,Sales_Data!$G$2:$G$865,$B13)</f>
        <v>2878281.5200000009</v>
      </c>
      <c r="H13" s="5">
        <f>SUMIFS(Sales_Data!$N$2:$N$865,Sales_Data!$B$2:$B$865,$A13,Sales_Data!$G$2:$G$865,$B13)</f>
        <v>2491514.1</v>
      </c>
      <c r="I13" s="5">
        <f t="shared" si="0"/>
        <v>386767.42000000086</v>
      </c>
      <c r="J13" s="6">
        <f t="shared" si="1"/>
        <v>0.13437442352755014</v>
      </c>
    </row>
    <row r="14" spans="1:10" ht="15" customHeight="1" x14ac:dyDescent="0.3">
      <c r="A14" s="4">
        <v>2023</v>
      </c>
      <c r="B14" s="4" t="s">
        <v>34</v>
      </c>
      <c r="C14" s="4" t="str">
        <f>INDEX(Master_Data!$B$2:$B$7,MATCH($B14,Master_Data!$A$2:$A$7,0))</f>
        <v>LiteTab 10 Tablet</v>
      </c>
      <c r="D14" s="4" t="str">
        <f>INDEX(Master_Data!$F$2:$F$7,MATCH($B14,Master_Data!$A$2:$A$7,0))</f>
        <v>Growth</v>
      </c>
      <c r="E14" s="5">
        <f>SUMIFS(Sales_Data!$H$2:$H$865,Sales_Data!$B$2:$B$865,$A14,Sales_Data!$G$2:$G$865,$B14)</f>
        <v>9713</v>
      </c>
      <c r="F14" s="5">
        <f>SUMIFS(Sales_Data!$K$2:$K$865,Sales_Data!$B$2:$B$865,$A14,Sales_Data!$G$2:$G$865,$B14)</f>
        <v>2165892.4599999995</v>
      </c>
      <c r="G14" s="5">
        <f>SUMIFS(Sales_Data!$L$2:$L$865,Sales_Data!$B$2:$B$865,$A14,Sales_Data!$G$2:$G$865,$B14)</f>
        <v>1939230.1100000003</v>
      </c>
      <c r="H14" s="5">
        <f>SUMIFS(Sales_Data!$N$2:$N$865,Sales_Data!$B$2:$B$865,$A14,Sales_Data!$G$2:$G$865,$B14)</f>
        <v>1467148.65</v>
      </c>
      <c r="I14" s="5">
        <f t="shared" si="0"/>
        <v>472081.46000000043</v>
      </c>
      <c r="J14" s="6">
        <f t="shared" si="1"/>
        <v>0.24343756708686848</v>
      </c>
    </row>
    <row r="15" spans="1:10" ht="15" customHeight="1" x14ac:dyDescent="0.3">
      <c r="A15" s="4">
        <v>2023</v>
      </c>
      <c r="B15" s="4" t="s">
        <v>35</v>
      </c>
      <c r="C15" s="4" t="str">
        <f>INDEX(Master_Data!$B$2:$B$7,MATCH($B15,Master_Data!$A$2:$A$7,0))</f>
        <v>Wireless Mouse</v>
      </c>
      <c r="D15" s="4" t="str">
        <f>INDEX(Master_Data!$F$2:$F$7,MATCH($B15,Master_Data!$A$2:$A$7,0))</f>
        <v>Mature</v>
      </c>
      <c r="E15" s="5">
        <f>SUMIFS(Sales_Data!$H$2:$H$865,Sales_Data!$B$2:$B$865,$A15,Sales_Data!$G$2:$G$865,$B15)</f>
        <v>37496</v>
      </c>
      <c r="F15" s="5">
        <f>SUMIFS(Sales_Data!$K$2:$K$865,Sales_Data!$B$2:$B$865,$A15,Sales_Data!$G$2:$G$865,$B15)</f>
        <v>417970.67999999993</v>
      </c>
      <c r="G15" s="5">
        <f>SUMIFS(Sales_Data!$L$2:$L$865,Sales_Data!$B$2:$B$865,$A15,Sales_Data!$G$2:$G$865,$B15)</f>
        <v>374488.74999999994</v>
      </c>
      <c r="H15" s="5">
        <f>SUMIFS(Sales_Data!$N$2:$N$865,Sales_Data!$B$2:$B$865,$A15,Sales_Data!$G$2:$G$865,$B15)</f>
        <v>208665.33000000002</v>
      </c>
      <c r="I15" s="5">
        <f t="shared" si="0"/>
        <v>165823.41999999993</v>
      </c>
      <c r="J15" s="6">
        <f t="shared" si="1"/>
        <v>0.44279946994402358</v>
      </c>
    </row>
    <row r="16" spans="1:10" ht="15" customHeight="1" x14ac:dyDescent="0.3">
      <c r="A16" s="4">
        <v>2023</v>
      </c>
      <c r="B16" s="4" t="s">
        <v>36</v>
      </c>
      <c r="C16" s="4" t="str">
        <f>INDEX(Master_Data!$B$2:$B$7,MATCH($B16,Master_Data!$A$2:$A$7,0))</f>
        <v>Office Software Bundle</v>
      </c>
      <c r="D16" s="4" t="str">
        <f>INDEX(Master_Data!$F$2:$F$7,MATCH($B16,Master_Data!$A$2:$A$7,0))</f>
        <v>Growth</v>
      </c>
      <c r="E16" s="5">
        <f>SUMIFS(Sales_Data!$H$2:$H$865,Sales_Data!$B$2:$B$865,$A16,Sales_Data!$G$2:$G$865,$B16)</f>
        <v>10804</v>
      </c>
      <c r="F16" s="5">
        <f>SUMIFS(Sales_Data!$K$2:$K$865,Sales_Data!$B$2:$B$865,$A16,Sales_Data!$G$2:$G$865,$B16)</f>
        <v>731379.99999999988</v>
      </c>
      <c r="G16" s="5">
        <f>SUMIFS(Sales_Data!$L$2:$L$865,Sales_Data!$B$2:$B$865,$A16,Sales_Data!$G$2:$G$865,$B16)</f>
        <v>665999.01999999979</v>
      </c>
      <c r="H16" s="5">
        <f>SUMIFS(Sales_Data!$N$2:$N$865,Sales_Data!$B$2:$B$865,$A16,Sales_Data!$G$2:$G$865,$B16)</f>
        <v>154605.24</v>
      </c>
      <c r="I16" s="5">
        <f t="shared" si="0"/>
        <v>511393.7799999998</v>
      </c>
      <c r="J16" s="6">
        <f t="shared" si="1"/>
        <v>0.7678596584121099</v>
      </c>
    </row>
    <row r="17" spans="1:10" ht="15" customHeight="1" x14ac:dyDescent="0.3">
      <c r="A17" s="4">
        <v>2023</v>
      </c>
      <c r="B17" s="4" t="s">
        <v>37</v>
      </c>
      <c r="C17" s="4" t="str">
        <f>INDEX(Master_Data!$B$2:$B$7,MATCH($B17,Master_Data!$A$2:$A$7,0))</f>
        <v>Extended Warranty 2Y</v>
      </c>
      <c r="D17" s="4" t="str">
        <f>INDEX(Master_Data!$F$2:$F$7,MATCH($B17,Master_Data!$A$2:$A$7,0))</f>
        <v>Mature</v>
      </c>
      <c r="E17" s="5">
        <f>SUMIFS(Sales_Data!$H$2:$H$865,Sales_Data!$B$2:$B$865,$A17,Sales_Data!$G$2:$G$865,$B17)</f>
        <v>8617</v>
      </c>
      <c r="F17" s="5">
        <f>SUMIFS(Sales_Data!$K$2:$K$865,Sales_Data!$B$2:$B$865,$A17,Sales_Data!$G$2:$G$865,$B17)</f>
        <v>446007.22000000009</v>
      </c>
      <c r="G17" s="5">
        <f>SUMIFS(Sales_Data!$L$2:$L$865,Sales_Data!$B$2:$B$865,$A17,Sales_Data!$G$2:$G$865,$B17)</f>
        <v>417720.17999999988</v>
      </c>
      <c r="H17" s="5">
        <f>SUMIFS(Sales_Data!$N$2:$N$865,Sales_Data!$B$2:$B$865,$A17,Sales_Data!$G$2:$G$865,$B17)</f>
        <v>61654.73</v>
      </c>
      <c r="I17" s="5">
        <f t="shared" si="0"/>
        <v>356065.4499999999</v>
      </c>
      <c r="J17" s="6">
        <f t="shared" si="1"/>
        <v>0.85240183991110985</v>
      </c>
    </row>
    <row r="18" spans="1:10" ht="15" customHeight="1" x14ac:dyDescent="0.3">
      <c r="A18" s="4">
        <v>2024</v>
      </c>
      <c r="B18" s="4" t="s">
        <v>22</v>
      </c>
      <c r="C18" s="4" t="str">
        <f>INDEX(Master_Data!$B$2:$B$7,MATCH($B18,Master_Data!$A$2:$A$7,0))</f>
        <v>AeroBook 13 Laptop</v>
      </c>
      <c r="D18" s="4" t="str">
        <f>INDEX(Master_Data!$F$2:$F$7,MATCH($B18,Master_Data!$A$2:$A$7,0))</f>
        <v>Growth</v>
      </c>
      <c r="E18" s="5">
        <f>SUMIFS(Sales_Data!$H$2:$H$865,Sales_Data!$B$2:$B$865,$A18,Sales_Data!$G$2:$G$865,$B18)</f>
        <v>7528</v>
      </c>
      <c r="F18" s="5">
        <f>SUMIFS(Sales_Data!$K$2:$K$865,Sales_Data!$B$2:$B$865,$A18,Sales_Data!$G$2:$G$865,$B18)</f>
        <v>3810063.6699999995</v>
      </c>
      <c r="G18" s="5">
        <f>SUMIFS(Sales_Data!$L$2:$L$865,Sales_Data!$B$2:$B$865,$A18,Sales_Data!$G$2:$G$865,$B18)</f>
        <v>3442056.77</v>
      </c>
      <c r="H18" s="5">
        <f>SUMIFS(Sales_Data!$N$2:$N$865,Sales_Data!$B$2:$B$865,$A18,Sales_Data!$G$2:$G$865,$B18)</f>
        <v>2908114.5700000003</v>
      </c>
      <c r="I18" s="5">
        <f t="shared" si="0"/>
        <v>533942.19999999972</v>
      </c>
      <c r="J18" s="6">
        <f t="shared" si="1"/>
        <v>0.15512300803801088</v>
      </c>
    </row>
    <row r="19" spans="1:10" ht="15" customHeight="1" x14ac:dyDescent="0.3">
      <c r="A19" s="4">
        <v>2024</v>
      </c>
      <c r="B19" s="4" t="s">
        <v>33</v>
      </c>
      <c r="C19" s="4" t="str">
        <f>INDEX(Master_Data!$B$2:$B$7,MATCH($B19,Master_Data!$A$2:$A$7,0))</f>
        <v>ProBook 15 Laptop</v>
      </c>
      <c r="D19" s="4" t="str">
        <f>INDEX(Master_Data!$F$2:$F$7,MATCH($B19,Master_Data!$A$2:$A$7,0))</f>
        <v>Mature</v>
      </c>
      <c r="E19" s="5">
        <f>SUMIFS(Sales_Data!$H$2:$H$865,Sales_Data!$B$2:$B$865,$A19,Sales_Data!$G$2:$G$865,$B19)</f>
        <v>5072</v>
      </c>
      <c r="F19" s="5">
        <f>SUMIFS(Sales_Data!$K$2:$K$865,Sales_Data!$B$2:$B$865,$A19,Sales_Data!$G$2:$G$865,$B19)</f>
        <v>3642530.3400000003</v>
      </c>
      <c r="G19" s="5">
        <f>SUMIFS(Sales_Data!$L$2:$L$865,Sales_Data!$B$2:$B$865,$A19,Sales_Data!$G$2:$G$865,$B19)</f>
        <v>3294091.79</v>
      </c>
      <c r="H19" s="5">
        <f>SUMIFS(Sales_Data!$N$2:$N$865,Sales_Data!$B$2:$B$865,$A19,Sales_Data!$G$2:$G$865,$B19)</f>
        <v>2907446.6799999992</v>
      </c>
      <c r="I19" s="5">
        <f t="shared" si="0"/>
        <v>386645.1100000008</v>
      </c>
      <c r="J19" s="6">
        <f t="shared" si="1"/>
        <v>0.11737532972631609</v>
      </c>
    </row>
    <row r="20" spans="1:10" ht="15" customHeight="1" x14ac:dyDescent="0.3">
      <c r="A20" s="4">
        <v>2024</v>
      </c>
      <c r="B20" s="4" t="s">
        <v>34</v>
      </c>
      <c r="C20" s="4" t="str">
        <f>INDEX(Master_Data!$B$2:$B$7,MATCH($B20,Master_Data!$A$2:$A$7,0))</f>
        <v>LiteTab 10 Tablet</v>
      </c>
      <c r="D20" s="4" t="str">
        <f>INDEX(Master_Data!$F$2:$F$7,MATCH($B20,Master_Data!$A$2:$A$7,0))</f>
        <v>Growth</v>
      </c>
      <c r="E20" s="5">
        <f>SUMIFS(Sales_Data!$H$2:$H$865,Sales_Data!$B$2:$B$865,$A20,Sales_Data!$G$2:$G$865,$B20)</f>
        <v>11356</v>
      </c>
      <c r="F20" s="5">
        <f>SUMIFS(Sales_Data!$K$2:$K$865,Sales_Data!$B$2:$B$865,$A20,Sales_Data!$G$2:$G$865,$B20)</f>
        <v>2595297.5299999998</v>
      </c>
      <c r="G20" s="5">
        <f>SUMIFS(Sales_Data!$L$2:$L$865,Sales_Data!$B$2:$B$865,$A20,Sales_Data!$G$2:$G$865,$B20)</f>
        <v>2324588.06</v>
      </c>
      <c r="H20" s="5">
        <f>SUMIFS(Sales_Data!$N$2:$N$865,Sales_Data!$B$2:$B$865,$A20,Sales_Data!$G$2:$G$865,$B20)</f>
        <v>1792513.4000000001</v>
      </c>
      <c r="I20" s="5">
        <f t="shared" si="0"/>
        <v>532074.65999999992</v>
      </c>
      <c r="J20" s="6">
        <f t="shared" si="1"/>
        <v>0.22888987049172055</v>
      </c>
    </row>
    <row r="21" spans="1:10" ht="15" customHeight="1" x14ac:dyDescent="0.3">
      <c r="A21" s="4">
        <v>2024</v>
      </c>
      <c r="B21" s="4" t="s">
        <v>35</v>
      </c>
      <c r="C21" s="4" t="str">
        <f>INDEX(Master_Data!$B$2:$B$7,MATCH($B21,Master_Data!$A$2:$A$7,0))</f>
        <v>Wireless Mouse</v>
      </c>
      <c r="D21" s="4" t="str">
        <f>INDEX(Master_Data!$F$2:$F$7,MATCH($B21,Master_Data!$A$2:$A$7,0))</f>
        <v>Mature</v>
      </c>
      <c r="E21" s="5">
        <f>SUMIFS(Sales_Data!$H$2:$H$865,Sales_Data!$B$2:$B$865,$A21,Sales_Data!$G$2:$G$865,$B21)</f>
        <v>42147</v>
      </c>
      <c r="F21" s="5">
        <f>SUMIFS(Sales_Data!$K$2:$K$865,Sales_Data!$B$2:$B$865,$A21,Sales_Data!$G$2:$G$865,$B21)</f>
        <v>481582.00999999995</v>
      </c>
      <c r="G21" s="5">
        <f>SUMIFS(Sales_Data!$L$2:$L$865,Sales_Data!$B$2:$B$865,$A21,Sales_Data!$G$2:$G$865,$B21)</f>
        <v>431450.69999999995</v>
      </c>
      <c r="H21" s="5">
        <f>SUMIFS(Sales_Data!$N$2:$N$865,Sales_Data!$B$2:$B$865,$A21,Sales_Data!$G$2:$G$865,$B21)</f>
        <v>245270.28</v>
      </c>
      <c r="I21" s="5">
        <f t="shared" si="0"/>
        <v>186180.41999999995</v>
      </c>
      <c r="J21" s="6">
        <f t="shared" si="1"/>
        <v>0.43152188650986073</v>
      </c>
    </row>
    <row r="22" spans="1:10" ht="15" customHeight="1" x14ac:dyDescent="0.3">
      <c r="A22" s="4">
        <v>2024</v>
      </c>
      <c r="B22" s="4" t="s">
        <v>36</v>
      </c>
      <c r="C22" s="4" t="str">
        <f>INDEX(Master_Data!$B$2:$B$7,MATCH($B22,Master_Data!$A$2:$A$7,0))</f>
        <v>Office Software Bundle</v>
      </c>
      <c r="D22" s="4" t="str">
        <f>INDEX(Master_Data!$F$2:$F$7,MATCH($B22,Master_Data!$A$2:$A$7,0))</f>
        <v>Growth</v>
      </c>
      <c r="E22" s="5">
        <f>SUMIFS(Sales_Data!$H$2:$H$865,Sales_Data!$B$2:$B$865,$A22,Sales_Data!$G$2:$G$865,$B22)</f>
        <v>12876</v>
      </c>
      <c r="F22" s="5">
        <f>SUMIFS(Sales_Data!$K$2:$K$865,Sales_Data!$B$2:$B$865,$A22,Sales_Data!$G$2:$G$865,$B22)</f>
        <v>893398.78000000014</v>
      </c>
      <c r="G22" s="5">
        <f>SUMIFS(Sales_Data!$L$2:$L$865,Sales_Data!$B$2:$B$865,$A22,Sales_Data!$G$2:$G$865,$B22)</f>
        <v>813676.46999999986</v>
      </c>
      <c r="H22" s="5">
        <f>SUMIFS(Sales_Data!$N$2:$N$865,Sales_Data!$B$2:$B$865,$A22,Sales_Data!$G$2:$G$865,$B22)</f>
        <v>192547.05000000005</v>
      </c>
      <c r="I22" s="5">
        <f t="shared" si="0"/>
        <v>621129.41999999981</v>
      </c>
      <c r="J22" s="6">
        <f t="shared" si="1"/>
        <v>0.76336165896501829</v>
      </c>
    </row>
    <row r="23" spans="1:10" ht="15" customHeight="1" x14ac:dyDescent="0.3">
      <c r="A23" s="4">
        <v>2024</v>
      </c>
      <c r="B23" s="4" t="s">
        <v>37</v>
      </c>
      <c r="C23" s="4" t="str">
        <f>INDEX(Master_Data!$B$2:$B$7,MATCH($B23,Master_Data!$A$2:$A$7,0))</f>
        <v>Extended Warranty 2Y</v>
      </c>
      <c r="D23" s="4" t="str">
        <f>INDEX(Master_Data!$F$2:$F$7,MATCH($B23,Master_Data!$A$2:$A$7,0))</f>
        <v>Mature</v>
      </c>
      <c r="E23" s="5">
        <f>SUMIFS(Sales_Data!$H$2:$H$865,Sales_Data!$B$2:$B$865,$A23,Sales_Data!$G$2:$G$865,$B23)</f>
        <v>9601</v>
      </c>
      <c r="F23" s="5">
        <f>SUMIFS(Sales_Data!$K$2:$K$865,Sales_Data!$B$2:$B$865,$A23,Sales_Data!$G$2:$G$865,$B23)</f>
        <v>509307.38000000006</v>
      </c>
      <c r="G23" s="5">
        <f>SUMIFS(Sales_Data!$L$2:$L$865,Sales_Data!$B$2:$B$865,$A23,Sales_Data!$G$2:$G$865,$B23)</f>
        <v>477036.36999999994</v>
      </c>
      <c r="H23" s="5">
        <f>SUMIFS(Sales_Data!$N$2:$N$865,Sales_Data!$B$2:$B$865,$A23,Sales_Data!$G$2:$G$865,$B23)</f>
        <v>71748.310000000012</v>
      </c>
      <c r="I23" s="5">
        <f t="shared" si="0"/>
        <v>405288.05999999994</v>
      </c>
      <c r="J23" s="6">
        <f t="shared" si="1"/>
        <v>0.8495957236971261</v>
      </c>
    </row>
    <row r="24" spans="1:10" ht="15" customHeight="1" x14ac:dyDescent="0.3">
      <c r="A24" s="4">
        <v>2025</v>
      </c>
      <c r="B24" s="4" t="s">
        <v>22</v>
      </c>
      <c r="C24" s="4" t="str">
        <f>INDEX(Master_Data!$B$2:$B$7,MATCH($B24,Master_Data!$A$2:$A$7,0))</f>
        <v>AeroBook 13 Laptop</v>
      </c>
      <c r="D24" s="4" t="str">
        <f>INDEX(Master_Data!$F$2:$F$7,MATCH($B24,Master_Data!$A$2:$A$7,0))</f>
        <v>Growth</v>
      </c>
      <c r="E24" s="5">
        <f>SUMIFS(Sales_Data!$H$2:$H$865,Sales_Data!$B$2:$B$865,$A24,Sales_Data!$G$2:$G$865,$B24)</f>
        <v>8883</v>
      </c>
      <c r="F24" s="5">
        <f>SUMIFS(Sales_Data!$K$2:$K$865,Sales_Data!$B$2:$B$865,$A24,Sales_Data!$G$2:$G$865,$B24)</f>
        <v>4614187.4300000006</v>
      </c>
      <c r="G24" s="5">
        <f>SUMIFS(Sales_Data!$L$2:$L$865,Sales_Data!$B$2:$B$865,$A24,Sales_Data!$G$2:$G$865,$B24)</f>
        <v>4169132.08</v>
      </c>
      <c r="H24" s="5">
        <f>SUMIFS(Sales_Data!$N$2:$N$865,Sales_Data!$B$2:$B$865,$A24,Sales_Data!$G$2:$G$865,$B24)</f>
        <v>3602318.5799999991</v>
      </c>
      <c r="I24" s="5">
        <f t="shared" si="0"/>
        <v>566813.50000000093</v>
      </c>
      <c r="J24" s="6">
        <f t="shared" si="1"/>
        <v>0.1359547956561743</v>
      </c>
    </row>
    <row r="25" spans="1:10" ht="15" customHeight="1" x14ac:dyDescent="0.3">
      <c r="A25" s="4">
        <v>2025</v>
      </c>
      <c r="B25" s="4" t="s">
        <v>33</v>
      </c>
      <c r="C25" s="4" t="str">
        <f>INDEX(Master_Data!$B$2:$B$7,MATCH($B25,Master_Data!$A$2:$A$7,0))</f>
        <v>ProBook 15 Laptop</v>
      </c>
      <c r="D25" s="4" t="str">
        <f>INDEX(Master_Data!$F$2:$F$7,MATCH($B25,Master_Data!$A$2:$A$7,0))</f>
        <v>Mature</v>
      </c>
      <c r="E25" s="5">
        <f>SUMIFS(Sales_Data!$H$2:$H$865,Sales_Data!$B$2:$B$865,$A25,Sales_Data!$G$2:$G$865,$B25)</f>
        <v>5711</v>
      </c>
      <c r="F25" s="5">
        <f>SUMIFS(Sales_Data!$K$2:$K$865,Sales_Data!$B$2:$B$865,$A25,Sales_Data!$G$2:$G$865,$B25)</f>
        <v>4209651.8199999994</v>
      </c>
      <c r="G25" s="5">
        <f>SUMIFS(Sales_Data!$L$2:$L$865,Sales_Data!$B$2:$B$865,$A25,Sales_Data!$G$2:$G$865,$B25)</f>
        <v>3806842.0699999989</v>
      </c>
      <c r="H25" s="5">
        <f>SUMIFS(Sales_Data!$N$2:$N$865,Sales_Data!$B$2:$B$865,$A25,Sales_Data!$G$2:$G$865,$B25)</f>
        <v>3436647.6600000011</v>
      </c>
      <c r="I25" s="5">
        <f t="shared" si="0"/>
        <v>370194.40999999782</v>
      </c>
      <c r="J25" s="6">
        <f t="shared" si="1"/>
        <v>9.7244488526942729E-2</v>
      </c>
    </row>
    <row r="26" spans="1:10" ht="15" customHeight="1" x14ac:dyDescent="0.3">
      <c r="A26" s="4">
        <v>2025</v>
      </c>
      <c r="B26" s="4" t="s">
        <v>34</v>
      </c>
      <c r="C26" s="4" t="str">
        <f>INDEX(Master_Data!$B$2:$B$7,MATCH($B26,Master_Data!$A$2:$A$7,0))</f>
        <v>LiteTab 10 Tablet</v>
      </c>
      <c r="D26" s="4" t="str">
        <f>INDEX(Master_Data!$F$2:$F$7,MATCH($B26,Master_Data!$A$2:$A$7,0))</f>
        <v>Growth</v>
      </c>
      <c r="E26" s="5">
        <f>SUMIFS(Sales_Data!$H$2:$H$865,Sales_Data!$B$2:$B$865,$A26,Sales_Data!$G$2:$G$865,$B26)</f>
        <v>13300</v>
      </c>
      <c r="F26" s="5">
        <f>SUMIFS(Sales_Data!$K$2:$K$865,Sales_Data!$B$2:$B$865,$A26,Sales_Data!$G$2:$G$865,$B26)</f>
        <v>3119551.7600000007</v>
      </c>
      <c r="G26" s="5">
        <f>SUMIFS(Sales_Data!$L$2:$L$865,Sales_Data!$B$2:$B$865,$A26,Sales_Data!$G$2:$G$865,$B26)</f>
        <v>2792436.3700000006</v>
      </c>
      <c r="H26" s="5">
        <f>SUMIFS(Sales_Data!$N$2:$N$865,Sales_Data!$B$2:$B$865,$A26,Sales_Data!$G$2:$G$865,$B26)</f>
        <v>2203834.6100000003</v>
      </c>
      <c r="I26" s="5">
        <f t="shared" si="0"/>
        <v>588601.76000000024</v>
      </c>
      <c r="J26" s="6">
        <f t="shared" si="1"/>
        <v>0.21078430517648647</v>
      </c>
    </row>
    <row r="27" spans="1:10" ht="15" customHeight="1" x14ac:dyDescent="0.3">
      <c r="A27" s="4">
        <v>2025</v>
      </c>
      <c r="B27" s="4" t="s">
        <v>35</v>
      </c>
      <c r="C27" s="4" t="str">
        <f>INDEX(Master_Data!$B$2:$B$7,MATCH($B27,Master_Data!$A$2:$A$7,0))</f>
        <v>Wireless Mouse</v>
      </c>
      <c r="D27" s="4" t="str">
        <f>INDEX(Master_Data!$F$2:$F$7,MATCH($B27,Master_Data!$A$2:$A$7,0))</f>
        <v>Mature</v>
      </c>
      <c r="E27" s="5">
        <f>SUMIFS(Sales_Data!$H$2:$H$865,Sales_Data!$B$2:$B$865,$A27,Sales_Data!$G$2:$G$865,$B27)</f>
        <v>47593</v>
      </c>
      <c r="F27" s="5">
        <f>SUMIFS(Sales_Data!$K$2:$K$865,Sales_Data!$B$2:$B$865,$A27,Sales_Data!$G$2:$G$865,$B27)</f>
        <v>558139.77</v>
      </c>
      <c r="G27" s="5">
        <f>SUMIFS(Sales_Data!$L$2:$L$865,Sales_Data!$B$2:$B$865,$A27,Sales_Data!$G$2:$G$865,$B27)</f>
        <v>499870.79</v>
      </c>
      <c r="H27" s="5">
        <f>SUMIFS(Sales_Data!$N$2:$N$865,Sales_Data!$B$2:$B$865,$A27,Sales_Data!$G$2:$G$865,$B27)</f>
        <v>290583.84999999998</v>
      </c>
      <c r="I27" s="5">
        <f t="shared" si="0"/>
        <v>209286.94</v>
      </c>
      <c r="J27" s="6">
        <f t="shared" si="1"/>
        <v>0.41868207582203393</v>
      </c>
    </row>
    <row r="28" spans="1:10" ht="15" customHeight="1" x14ac:dyDescent="0.3">
      <c r="A28" s="4">
        <v>2025</v>
      </c>
      <c r="B28" s="4" t="s">
        <v>36</v>
      </c>
      <c r="C28" s="4" t="str">
        <f>INDEX(Master_Data!$B$2:$B$7,MATCH($B28,Master_Data!$A$2:$A$7,0))</f>
        <v>Office Software Bundle</v>
      </c>
      <c r="D28" s="4" t="str">
        <f>INDEX(Master_Data!$F$2:$F$7,MATCH($B28,Master_Data!$A$2:$A$7,0))</f>
        <v>Growth</v>
      </c>
      <c r="E28" s="5">
        <f>SUMIFS(Sales_Data!$H$2:$H$865,Sales_Data!$B$2:$B$865,$A28,Sales_Data!$G$2:$G$865,$B28)</f>
        <v>15105</v>
      </c>
      <c r="F28" s="5">
        <f>SUMIFS(Sales_Data!$K$2:$K$865,Sales_Data!$B$2:$B$865,$A28,Sales_Data!$G$2:$G$865,$B28)</f>
        <v>1075635.3000000003</v>
      </c>
      <c r="G28" s="5">
        <f>SUMIFS(Sales_Data!$L$2:$L$865,Sales_Data!$B$2:$B$865,$A28,Sales_Data!$G$2:$G$865,$B28)</f>
        <v>979571.14</v>
      </c>
      <c r="H28" s="5">
        <f>SUMIFS(Sales_Data!$N$2:$N$865,Sales_Data!$B$2:$B$865,$A28,Sales_Data!$G$2:$G$865,$B28)</f>
        <v>237167.46</v>
      </c>
      <c r="I28" s="5">
        <f t="shared" si="0"/>
        <v>742403.68</v>
      </c>
      <c r="J28" s="6">
        <f t="shared" si="1"/>
        <v>0.75788643589479376</v>
      </c>
    </row>
    <row r="29" spans="1:10" ht="15" customHeight="1" x14ac:dyDescent="0.3">
      <c r="A29" s="4">
        <v>2025</v>
      </c>
      <c r="B29" s="4" t="s">
        <v>37</v>
      </c>
      <c r="C29" s="4" t="str">
        <f>INDEX(Master_Data!$B$2:$B$7,MATCH($B29,Master_Data!$A$2:$A$7,0))</f>
        <v>Extended Warranty 2Y</v>
      </c>
      <c r="D29" s="4" t="str">
        <f>INDEX(Master_Data!$F$2:$F$7,MATCH($B29,Master_Data!$A$2:$A$7,0))</f>
        <v>Mature</v>
      </c>
      <c r="E29" s="5">
        <f>SUMIFS(Sales_Data!$H$2:$H$865,Sales_Data!$B$2:$B$865,$A29,Sales_Data!$G$2:$G$865,$B29)</f>
        <v>10757</v>
      </c>
      <c r="F29" s="5">
        <f>SUMIFS(Sales_Data!$K$2:$K$865,Sales_Data!$B$2:$B$865,$A29,Sales_Data!$G$2:$G$865,$B29)</f>
        <v>585721.44000000006</v>
      </c>
      <c r="G29" s="5">
        <f>SUMIFS(Sales_Data!$L$2:$L$865,Sales_Data!$B$2:$B$865,$A29,Sales_Data!$G$2:$G$865,$B29)</f>
        <v>548580.80999999994</v>
      </c>
      <c r="H29" s="5">
        <f>SUMIFS(Sales_Data!$N$2:$N$865,Sales_Data!$B$2:$B$865,$A29,Sales_Data!$G$2:$G$865,$B29)</f>
        <v>84406.370000000024</v>
      </c>
      <c r="I29" s="5">
        <f t="shared" si="0"/>
        <v>464174.43999999994</v>
      </c>
      <c r="J29" s="6">
        <f t="shared" si="1"/>
        <v>0.84613685265439742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showGridLines="0" zoomScaleNormal="100" workbookViewId="0">
      <selection activeCell="A7" sqref="A7:B7"/>
    </sheetView>
  </sheetViews>
  <sheetFormatPr defaultColWidth="8.6640625" defaultRowHeight="14.4" x14ac:dyDescent="0.3"/>
  <cols>
    <col min="1" max="1" width="16" customWidth="1"/>
    <col min="2" max="4" width="18" customWidth="1"/>
    <col min="5" max="5" width="20" customWidth="1"/>
    <col min="6" max="6" width="14" customWidth="1"/>
    <col min="7" max="7" width="16" customWidth="1"/>
    <col min="8" max="8" width="10" customWidth="1"/>
  </cols>
  <sheetData>
    <row r="1" spans="1:8" ht="21.75" customHeight="1" x14ac:dyDescent="0.4">
      <c r="A1" s="35" t="s">
        <v>63</v>
      </c>
      <c r="B1" s="33"/>
      <c r="C1" s="33"/>
      <c r="D1" s="33"/>
      <c r="E1" s="33"/>
      <c r="F1" s="33"/>
      <c r="G1" s="33"/>
      <c r="H1" s="33"/>
    </row>
    <row r="2" spans="1:8" ht="15" customHeight="1" x14ac:dyDescent="0.3">
      <c r="A2" s="32" t="s">
        <v>64</v>
      </c>
      <c r="B2" s="33"/>
      <c r="C2" s="33"/>
      <c r="D2" s="33"/>
      <c r="E2" s="33"/>
      <c r="F2" s="33"/>
      <c r="G2" s="33"/>
      <c r="H2" s="33"/>
    </row>
    <row r="4" spans="1:8" ht="15" customHeight="1" x14ac:dyDescent="0.3">
      <c r="A4" s="2" t="s">
        <v>65</v>
      </c>
      <c r="B4" s="7" t="s">
        <v>127</v>
      </c>
      <c r="C4" s="1" t="s">
        <v>67</v>
      </c>
    </row>
    <row r="6" spans="1:8" ht="15" customHeight="1" x14ac:dyDescent="0.3">
      <c r="A6" s="34" t="s">
        <v>68</v>
      </c>
      <c r="B6" s="33"/>
      <c r="C6" s="34" t="s">
        <v>69</v>
      </c>
      <c r="D6" s="33"/>
      <c r="E6" s="34" t="s">
        <v>70</v>
      </c>
      <c r="F6" s="33"/>
      <c r="G6" s="34" t="s">
        <v>71</v>
      </c>
      <c r="H6" s="33"/>
    </row>
    <row r="7" spans="1:8" ht="19.5" customHeight="1" x14ac:dyDescent="0.4">
      <c r="A7" s="36">
        <f>INDEX(Forecast_2026!$D$37:$D$41,MATCH($B$4,Forecast_2026!$A$37:$A$41,0))</f>
        <v>14145685.8277476</v>
      </c>
      <c r="B7" s="33"/>
      <c r="C7" s="36">
        <f>INDEX(Forecast_2026!$F$37:$F$41,MATCH($B$4,Forecast_2026!$A$37:$A$41,0))</f>
        <v>3694502.3066825983</v>
      </c>
      <c r="D7" s="33"/>
      <c r="E7" s="38">
        <f>INDEX(Forecast_2026!$G$37:$G$41,MATCH($B$4,Forecast_2026!$A$37:$A$41,0))</f>
        <v>0.26117519869101102</v>
      </c>
      <c r="F7" s="33"/>
      <c r="G7" s="37">
        <f>E7-Actuals_Summary!$G$7</f>
        <v>3.1308432676243836E-2</v>
      </c>
      <c r="H7" s="33"/>
    </row>
    <row r="9" spans="1:8" ht="15" customHeight="1" x14ac:dyDescent="0.3">
      <c r="A9" s="2" t="s">
        <v>72</v>
      </c>
    </row>
    <row r="10" spans="1:8" ht="15" customHeight="1" x14ac:dyDescent="0.3">
      <c r="A10" s="3" t="s">
        <v>1</v>
      </c>
      <c r="B10" s="3" t="s">
        <v>11</v>
      </c>
      <c r="C10" s="3" t="s">
        <v>14</v>
      </c>
      <c r="D10" s="3" t="s">
        <v>15</v>
      </c>
    </row>
    <row r="11" spans="1:8" ht="15" customHeight="1" x14ac:dyDescent="0.3">
      <c r="A11" s="4">
        <v>2023</v>
      </c>
      <c r="B11" s="5">
        <f>INDEX(Actuals_Summary!$D$5:$D$7,MATCH($A11,Actuals_Summary!$A$5:$A$7,0))</f>
        <v>9095479.5700000003</v>
      </c>
      <c r="C11" s="5">
        <f>INDEX(Actuals_Summary!$F$5:$F$7,MATCH($A11,Actuals_Summary!$A$5:$A$7,0))</f>
        <v>2375545.4700000035</v>
      </c>
      <c r="D11" s="6">
        <f>INDEX(Actuals_Summary!$G$5:$G$7,MATCH($A11,Actuals_Summary!$A$5:$A$7,0))</f>
        <v>0.26117869340670768</v>
      </c>
    </row>
    <row r="12" spans="1:8" ht="15" customHeight="1" x14ac:dyDescent="0.3">
      <c r="A12" s="4">
        <v>2024</v>
      </c>
      <c r="B12" s="5">
        <f>INDEX(Actuals_Summary!$D$5:$D$7,MATCH($A12,Actuals_Summary!$A$5:$A$7,0))</f>
        <v>10782900.160000002</v>
      </c>
      <c r="C12" s="5">
        <f>INDEX(Actuals_Summary!$F$5:$F$7,MATCH($A12,Actuals_Summary!$A$5:$A$7,0))</f>
        <v>2665259.870000001</v>
      </c>
      <c r="D12" s="6">
        <f>INDEX(Actuals_Summary!$G$5:$G$7,MATCH($A12,Actuals_Summary!$A$5:$A$7,0))</f>
        <v>0.24717467754055514</v>
      </c>
    </row>
    <row r="13" spans="1:8" ht="15" customHeight="1" x14ac:dyDescent="0.3">
      <c r="A13" s="4">
        <v>2025</v>
      </c>
      <c r="B13" s="5">
        <f>INDEX(Actuals_Summary!$D$5:$D$7,MATCH($A13,Actuals_Summary!$A$5:$A$7,0))</f>
        <v>12796433.260000015</v>
      </c>
      <c r="C13" s="5">
        <f>INDEX(Actuals_Summary!$F$5:$F$7,MATCH($A13,Actuals_Summary!$A$5:$A$7,0))</f>
        <v>2941474.7300000079</v>
      </c>
      <c r="D13" s="6">
        <f>INDEX(Actuals_Summary!$G$5:$G$7,MATCH($A13,Actuals_Summary!$A$5:$A$7,0))</f>
        <v>0.22986676601476719</v>
      </c>
    </row>
    <row r="14" spans="1:8" ht="15" customHeight="1" x14ac:dyDescent="0.3">
      <c r="A14" s="8" t="s">
        <v>73</v>
      </c>
      <c r="B14" s="9">
        <f>INDEX(Forecast_2026!$D$37:$D$41,MATCH($B$4,Forecast_2026!$A$37:$A$41,0))</f>
        <v>14145685.8277476</v>
      </c>
      <c r="C14" s="9">
        <f>INDEX(Forecast_2026!$F$37:$F$41,MATCH($B$4,Forecast_2026!$A$37:$A$41,0))</f>
        <v>3694502.3066825983</v>
      </c>
      <c r="D14" s="10">
        <f>INDEX(Forecast_2026!$G$37:$G$41,MATCH($B$4,Forecast_2026!$A$37:$A$41,0))</f>
        <v>0.26117519869101102</v>
      </c>
    </row>
    <row r="16" spans="1:8" ht="15" customHeight="1" x14ac:dyDescent="0.3">
      <c r="A16" s="2" t="s">
        <v>74</v>
      </c>
    </row>
    <row r="17" spans="1:7" ht="26.25" customHeight="1" x14ac:dyDescent="0.3">
      <c r="A17" s="11" t="s">
        <v>75</v>
      </c>
      <c r="B17" s="11" t="s">
        <v>76</v>
      </c>
      <c r="C17" s="11" t="s">
        <v>77</v>
      </c>
      <c r="D17" s="11" t="s">
        <v>78</v>
      </c>
      <c r="E17" s="11" t="s">
        <v>79</v>
      </c>
      <c r="F17" s="11" t="s">
        <v>80</v>
      </c>
      <c r="G17" s="11" t="s">
        <v>81</v>
      </c>
    </row>
    <row r="18" spans="1:7" ht="15" customHeight="1" x14ac:dyDescent="0.3">
      <c r="A18" s="4" t="str">
        <f>Forecast_2026!A37</f>
        <v>Base Case</v>
      </c>
      <c r="B18" s="5">
        <f>Forecast_2026!D37</f>
        <v>14096550.879216</v>
      </c>
      <c r="C18" s="5">
        <f>Forecast_2026!F37</f>
        <v>3027461.4583199983</v>
      </c>
      <c r="D18" s="6">
        <f>Forecast_2026!G37</f>
        <v>0.21476611436799745</v>
      </c>
      <c r="E18" s="5">
        <f>Forecast_2026!H37</f>
        <v>245460.02250000005</v>
      </c>
      <c r="F18" s="6">
        <f>B18/Actuals_Summary!$D$7-1</f>
        <v>0.1015999999999988</v>
      </c>
      <c r="G18" s="12">
        <f>D18-Actuals_Summary!$G$7</f>
        <v>-1.5100651646769742E-2</v>
      </c>
    </row>
    <row r="19" spans="1:7" ht="15" customHeight="1" x14ac:dyDescent="0.3">
      <c r="A19" s="4" t="str">
        <f>Forecast_2026!A38</f>
        <v>Optimistic</v>
      </c>
      <c r="B19" s="5">
        <f>Forecast_2026!D38</f>
        <v>15339366.467493121</v>
      </c>
      <c r="C19" s="5">
        <f>Forecast_2026!F38</f>
        <v>3880020.6888091187</v>
      </c>
      <c r="D19" s="6">
        <f>Forecast_2026!G38</f>
        <v>0.25294530233902301</v>
      </c>
      <c r="E19" s="5">
        <f>Forecast_2026!H38</f>
        <v>257148.595</v>
      </c>
      <c r="F19" s="6">
        <f>B19/Actuals_Summary!$D$7-1</f>
        <v>0.1987220310398512</v>
      </c>
      <c r="G19" s="12">
        <f>D19-Actuals_Summary!$G$7</f>
        <v>2.3078536324255827E-2</v>
      </c>
    </row>
    <row r="20" spans="1:7" ht="15" customHeight="1" x14ac:dyDescent="0.3">
      <c r="A20" s="4" t="str">
        <f>Forecast_2026!A39</f>
        <v>Pessimistic</v>
      </c>
      <c r="B20" s="5">
        <f>Forecast_2026!D39</f>
        <v>12763439.019791998</v>
      </c>
      <c r="C20" s="5">
        <f>Forecast_2026!F39</f>
        <v>1907216.7031439985</v>
      </c>
      <c r="D20" s="6">
        <f>Forecast_2026!G39</f>
        <v>0.1494281204451651</v>
      </c>
      <c r="E20" s="5">
        <f>Forecast_2026!H39</f>
        <v>222082.87749999997</v>
      </c>
      <c r="F20" s="6">
        <f>B20/Actuals_Summary!$D$7-1</f>
        <v>-2.578393489625963E-3</v>
      </c>
      <c r="G20" s="12">
        <f>D20-Actuals_Summary!$G$7</f>
        <v>-8.0438645569602091E-2</v>
      </c>
    </row>
    <row r="21" spans="1:7" ht="15" customHeight="1" x14ac:dyDescent="0.3">
      <c r="A21" s="4" t="str">
        <f>Forecast_2026!A40</f>
        <v>Margin Recovery</v>
      </c>
      <c r="B21" s="5">
        <f>Forecast_2026!D40</f>
        <v>14145685.8277476</v>
      </c>
      <c r="C21" s="5">
        <f>Forecast_2026!F40</f>
        <v>3694502.3066825983</v>
      </c>
      <c r="D21" s="6">
        <f>Forecast_2026!G40</f>
        <v>0.26117519869101102</v>
      </c>
      <c r="E21" s="5">
        <f>Forecast_2026!H40</f>
        <v>233771.45</v>
      </c>
      <c r="F21" s="6">
        <f>B21/Actuals_Summary!$D$7-1</f>
        <v>0.10543973780296834</v>
      </c>
      <c r="G21" s="12">
        <f>D21-Actuals_Summary!$G$7</f>
        <v>3.1308432676243836E-2</v>
      </c>
    </row>
    <row r="22" spans="1:7" ht="15" customHeight="1" x14ac:dyDescent="0.3">
      <c r="A22" s="4" t="str">
        <f>Forecast_2026!A41</f>
        <v>Growth Push</v>
      </c>
      <c r="B22" s="5">
        <f>Forecast_2026!D41</f>
        <v>14744409.278877916</v>
      </c>
      <c r="C22" s="5">
        <f>Forecast_2026!F41</f>
        <v>2534115.6602079165</v>
      </c>
      <c r="D22" s="6">
        <f>Forecast_2026!G41</f>
        <v>0.1718695956058518</v>
      </c>
      <c r="E22" s="5">
        <f>Forecast_2026!H41</f>
        <v>280525.74</v>
      </c>
      <c r="F22" s="6">
        <f>B22/Actuals_Summary!$D$7-1</f>
        <v>0.15222804505744736</v>
      </c>
      <c r="G22" s="12">
        <f>D22-Actuals_Summary!$G$7</f>
        <v>-5.7997170408915388E-2</v>
      </c>
    </row>
  </sheetData>
  <mergeCells count="10">
    <mergeCell ref="C7:D7"/>
    <mergeCell ref="A7:B7"/>
    <mergeCell ref="G7:H7"/>
    <mergeCell ref="E7:F7"/>
    <mergeCell ref="A2:H2"/>
    <mergeCell ref="G6:H6"/>
    <mergeCell ref="A1:H1"/>
    <mergeCell ref="A6:B6"/>
    <mergeCell ref="E6:F6"/>
    <mergeCell ref="C6:D6"/>
  </mergeCells>
  <dataValidations count="1">
    <dataValidation type="list" errorTitle="Invalid entry" error="Please pick one of the 5 listed scenarios." promptTitle="Scenario selector" prompt="Choose a scenario" sqref="B4" xr:uid="{00000000-0002-0000-0100-000000000000}">
      <formula1>ScenarioList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41"/>
  <sheetViews>
    <sheetView showGridLines="0" zoomScaleNormal="100" workbookViewId="0">
      <selection sqref="A1:U1"/>
    </sheetView>
  </sheetViews>
  <sheetFormatPr defaultColWidth="8.6640625" defaultRowHeight="14.4" x14ac:dyDescent="0.3"/>
  <cols>
    <col min="1" max="1" width="16" customWidth="1"/>
    <col min="2" max="2" width="13" customWidth="1"/>
    <col min="3" max="3" width="20" customWidth="1"/>
    <col min="4" max="6" width="14" customWidth="1"/>
    <col min="7" max="9" width="15" customWidth="1"/>
    <col min="10" max="12" width="13" customWidth="1"/>
    <col min="13" max="13" width="15" customWidth="1"/>
    <col min="14" max="14" width="14" customWidth="1"/>
    <col min="15" max="16" width="12" customWidth="1"/>
    <col min="17" max="18" width="13" customWidth="1"/>
    <col min="19" max="20" width="15" customWidth="1"/>
    <col min="21" max="21" width="13" customWidth="1"/>
    <col min="22" max="22" width="14" customWidth="1"/>
    <col min="23" max="23" width="16" customWidth="1"/>
    <col min="24" max="24" width="14" customWidth="1"/>
  </cols>
  <sheetData>
    <row r="1" spans="1:24" ht="17.25" customHeight="1" x14ac:dyDescent="0.3">
      <c r="A1" s="41" t="s">
        <v>135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3" spans="1:24" ht="26.25" customHeight="1" x14ac:dyDescent="0.3">
      <c r="A3" s="11" t="s">
        <v>75</v>
      </c>
      <c r="B3" s="11" t="s">
        <v>6</v>
      </c>
      <c r="C3" s="11" t="s">
        <v>82</v>
      </c>
      <c r="D3" s="11" t="s">
        <v>86</v>
      </c>
      <c r="E3" s="11" t="s">
        <v>136</v>
      </c>
      <c r="F3" s="11" t="s">
        <v>137</v>
      </c>
      <c r="G3" s="11" t="s">
        <v>138</v>
      </c>
      <c r="H3" s="11" t="s">
        <v>139</v>
      </c>
      <c r="I3" s="11" t="s">
        <v>140</v>
      </c>
      <c r="J3" s="11" t="s">
        <v>141</v>
      </c>
      <c r="K3" s="11" t="s">
        <v>142</v>
      </c>
      <c r="L3" s="11" t="s">
        <v>143</v>
      </c>
      <c r="M3" s="11" t="s">
        <v>144</v>
      </c>
      <c r="N3" s="11" t="s">
        <v>145</v>
      </c>
      <c r="O3" s="11" t="s">
        <v>146</v>
      </c>
      <c r="P3" s="11" t="s">
        <v>147</v>
      </c>
      <c r="Q3" s="11" t="s">
        <v>148</v>
      </c>
      <c r="R3" s="11" t="s">
        <v>149</v>
      </c>
      <c r="S3" s="11" t="s">
        <v>150</v>
      </c>
      <c r="T3" s="11" t="s">
        <v>76</v>
      </c>
      <c r="U3" s="11" t="s">
        <v>151</v>
      </c>
      <c r="V3" s="11" t="s">
        <v>77</v>
      </c>
      <c r="W3" s="11" t="s">
        <v>78</v>
      </c>
      <c r="X3" s="11" t="s">
        <v>152</v>
      </c>
    </row>
    <row r="4" spans="1:24" ht="15" customHeight="1" x14ac:dyDescent="0.3">
      <c r="A4" s="4" t="s">
        <v>66</v>
      </c>
      <c r="B4" s="4" t="s">
        <v>22</v>
      </c>
      <c r="C4" s="4" t="str">
        <f>INDEX(Master_Data!$B$2:$B$7,MATCH($B4,Master_Data!$A$2:$A$7,0))</f>
        <v>AeroBook 13 Laptop</v>
      </c>
      <c r="D4" s="4" t="str">
        <f>INDEX(Master_Data!$F$2:$F$7,MATCH($B4,Master_Data!$A$2:$A$7,0))</f>
        <v>Growth</v>
      </c>
      <c r="E4" s="5">
        <f>SUMIFS(Sales_Data!$H$2:$H$865,Sales_Data!$B$2:$B$865,2025,Sales_Data!$G$2:$G$865,$B4)</f>
        <v>8883</v>
      </c>
      <c r="F4" s="28">
        <f>IFERROR(SUMIFS(Sales_Data!$K$2:$K$865,Sales_Data!$B$2:$B$865,2025,Sales_Data!$G$2:$G$865,$B4)/E4,0)</f>
        <v>519.44021501744908</v>
      </c>
      <c r="G4" s="28">
        <f>IFERROR(SUMIFS(Sales_Data!$N$2:$N$865,Sales_Data!$B$2:$B$865,2025,Sales_Data!$G$2:$G$865,$B4)/E4,0)</f>
        <v>405.52950354609919</v>
      </c>
      <c r="H4" s="6">
        <f>IFERROR(1-SUMIFS(Sales_Data!$L$2:$L$865,Sales_Data!$B$2:$B$865,2025,Sales_Data!$G$2:$G$865,$B4)/SUMIFS(Sales_Data!$K$2:$K$865,Sales_Data!$B$2:$B$865,2025,Sales_Data!$G$2:$G$865,$B4),0)</f>
        <v>9.6453678302357182E-2</v>
      </c>
      <c r="I4" s="5">
        <f>SUMIFS(Sales_Data!$Q$2:$Q$865,Sales_Data!$B$2:$B$865,2025,Sales_Data!$G$2:$G$865,$B4)</f>
        <v>60635.430000000008</v>
      </c>
      <c r="J4" s="6">
        <f>INDEX(Assumed_scenario!$B$2:$B$6,MATCH($A4,Assumed_scenario!$A$2:$A$6,0))</f>
        <v>0.08</v>
      </c>
      <c r="K4" s="6">
        <f>INDEX(Assumed_scenario!$C$2:$C$6,MATCH($A4,Assumed_scenario!$A$2:$A$6,0))</f>
        <v>0.02</v>
      </c>
      <c r="L4" s="6">
        <f>INDEX(Assumed_scenario!$D$2:$D$6,MATCH($A4,Assumed_scenario!$A$2:$A$6,0))</f>
        <v>0.04</v>
      </c>
      <c r="M4" s="6">
        <f>INDEX(Assumed_scenario!$E$2:$E$6,MATCH($A4,Assumed_scenario!$A$2:$A$6,0))</f>
        <v>0</v>
      </c>
      <c r="N4" s="6">
        <f>INDEX(Assumed_scenario!$F$2:$F$6,MATCH($A4,Assumed_scenario!$A$2:$A$6,0))</f>
        <v>0.05</v>
      </c>
      <c r="O4" s="5">
        <f t="shared" ref="O4:O33" si="0">E4*(1+J4)</f>
        <v>9593.6400000000012</v>
      </c>
      <c r="P4" s="28">
        <f t="shared" ref="P4:P33" si="1">F4*(1+K4)</f>
        <v>529.82901931779804</v>
      </c>
      <c r="Q4" s="28">
        <f t="shared" ref="Q4:Q33" si="2">G4*(1+L4)</f>
        <v>421.75068368794319</v>
      </c>
      <c r="R4" s="6">
        <f t="shared" ref="R4:R33" si="3">MAX(0,H4+M4)</f>
        <v>9.6453678302357182E-2</v>
      </c>
      <c r="S4" s="5">
        <f t="shared" ref="S4:S33" si="4">O4*P4</f>
        <v>5082988.8728880007</v>
      </c>
      <c r="T4" s="5">
        <f t="shared" ref="T4:T33" si="5">S4*(1-R4)</f>
        <v>4592715.8993279999</v>
      </c>
      <c r="U4" s="5">
        <f t="shared" ref="U4:U33" si="6">O4*Q4</f>
        <v>4046124.2290559998</v>
      </c>
      <c r="V4" s="5">
        <f t="shared" ref="V4:V33" si="7">T4-U4</f>
        <v>546591.67027200013</v>
      </c>
      <c r="W4" s="6">
        <f t="shared" ref="W4:W33" si="8">IF(T4=0,0,V4/T4)</f>
        <v>0.11901273282590301</v>
      </c>
      <c r="X4" s="5">
        <f t="shared" ref="X4:X33" si="9">I4*(1+N4)</f>
        <v>63667.20150000001</v>
      </c>
    </row>
    <row r="5" spans="1:24" ht="15" customHeight="1" x14ac:dyDescent="0.3">
      <c r="A5" s="4" t="s">
        <v>66</v>
      </c>
      <c r="B5" s="4" t="s">
        <v>33</v>
      </c>
      <c r="C5" s="4" t="str">
        <f>INDEX(Master_Data!$B$2:$B$7,MATCH($B5,Master_Data!$A$2:$A$7,0))</f>
        <v>ProBook 15 Laptop</v>
      </c>
      <c r="D5" s="4" t="str">
        <f>INDEX(Master_Data!$F$2:$F$7,MATCH($B5,Master_Data!$A$2:$A$7,0))</f>
        <v>Mature</v>
      </c>
      <c r="E5" s="5">
        <f>SUMIFS(Sales_Data!$H$2:$H$865,Sales_Data!$B$2:$B$865,2025,Sales_Data!$G$2:$G$865,$B5)</f>
        <v>5711</v>
      </c>
      <c r="F5" s="28">
        <f>IFERROR(SUMIFS(Sales_Data!$K$2:$K$865,Sales_Data!$B$2:$B$865,2025,Sales_Data!$G$2:$G$865,$B5)/E5,0)</f>
        <v>737.11290842234268</v>
      </c>
      <c r="G5" s="28">
        <f>IFERROR(SUMIFS(Sales_Data!$N$2:$N$865,Sales_Data!$B$2:$B$865,2025,Sales_Data!$G$2:$G$865,$B5)/E5,0)</f>
        <v>601.75935212747345</v>
      </c>
      <c r="H5" s="6">
        <f>IFERROR(1-SUMIFS(Sales_Data!$L$2:$L$865,Sales_Data!$B$2:$B$865,2025,Sales_Data!$G$2:$G$865,$B5)/SUMIFS(Sales_Data!$K$2:$K$865,Sales_Data!$B$2:$B$865,2025,Sales_Data!$G$2:$G$865,$B5),0)</f>
        <v>9.5687189160456598E-2</v>
      </c>
      <c r="I5" s="5">
        <f>SUMIFS(Sales_Data!$Q$2:$Q$865,Sales_Data!$B$2:$B$865,2025,Sales_Data!$G$2:$G$865,$B5)</f>
        <v>60576.499999999993</v>
      </c>
      <c r="J5" s="6">
        <f>INDEX(Assumed_scenario!$B$2:$B$6,MATCH($A5,Assumed_scenario!$A$2:$A$6,0))</f>
        <v>0.08</v>
      </c>
      <c r="K5" s="6">
        <f>INDEX(Assumed_scenario!$C$2:$C$6,MATCH($A5,Assumed_scenario!$A$2:$A$6,0))</f>
        <v>0.02</v>
      </c>
      <c r="L5" s="6">
        <f>INDEX(Assumed_scenario!$D$2:$D$6,MATCH($A5,Assumed_scenario!$A$2:$A$6,0))</f>
        <v>0.04</v>
      </c>
      <c r="M5" s="6">
        <f>INDEX(Assumed_scenario!$E$2:$E$6,MATCH($A5,Assumed_scenario!$A$2:$A$6,0))</f>
        <v>0</v>
      </c>
      <c r="N5" s="6">
        <f>INDEX(Assumed_scenario!$F$2:$F$6,MATCH($A5,Assumed_scenario!$A$2:$A$6,0))</f>
        <v>0.05</v>
      </c>
      <c r="O5" s="5">
        <f t="shared" si="0"/>
        <v>6167.88</v>
      </c>
      <c r="P5" s="28">
        <f t="shared" si="1"/>
        <v>751.85516659078951</v>
      </c>
      <c r="Q5" s="28">
        <f t="shared" si="2"/>
        <v>625.82972621257238</v>
      </c>
      <c r="R5" s="6">
        <f t="shared" si="3"/>
        <v>9.5687189160456598E-2</v>
      </c>
      <c r="S5" s="5">
        <f t="shared" si="4"/>
        <v>4637352.4449119987</v>
      </c>
      <c r="T5" s="5">
        <f t="shared" si="5"/>
        <v>4193617.2243119986</v>
      </c>
      <c r="U5" s="5">
        <f t="shared" si="6"/>
        <v>3860042.6517120008</v>
      </c>
      <c r="V5" s="5">
        <f t="shared" si="7"/>
        <v>333574.57259999774</v>
      </c>
      <c r="W5" s="6">
        <f t="shared" si="8"/>
        <v>7.9543400066686754E-2</v>
      </c>
      <c r="X5" s="5">
        <f t="shared" si="9"/>
        <v>63605.324999999997</v>
      </c>
    </row>
    <row r="6" spans="1:24" ht="15" customHeight="1" x14ac:dyDescent="0.3">
      <c r="A6" s="4" t="s">
        <v>66</v>
      </c>
      <c r="B6" s="4" t="s">
        <v>34</v>
      </c>
      <c r="C6" s="4" t="str">
        <f>INDEX(Master_Data!$B$2:$B$7,MATCH($B6,Master_Data!$A$2:$A$7,0))</f>
        <v>LiteTab 10 Tablet</v>
      </c>
      <c r="D6" s="4" t="str">
        <f>INDEX(Master_Data!$F$2:$F$7,MATCH($B6,Master_Data!$A$2:$A$7,0))</f>
        <v>Growth</v>
      </c>
      <c r="E6" s="5">
        <f>SUMIFS(Sales_Data!$H$2:$H$865,Sales_Data!$B$2:$B$865,2025,Sales_Data!$G$2:$G$865,$B6)</f>
        <v>13300</v>
      </c>
      <c r="F6" s="28">
        <f>IFERROR(SUMIFS(Sales_Data!$K$2:$K$865,Sales_Data!$B$2:$B$865,2025,Sales_Data!$G$2:$G$865,$B6)/E6,0)</f>
        <v>234.55276390977448</v>
      </c>
      <c r="G6" s="28">
        <f>IFERROR(SUMIFS(Sales_Data!$N$2:$N$865,Sales_Data!$B$2:$B$865,2025,Sales_Data!$G$2:$G$865,$B6)/E6,0)</f>
        <v>165.70185037593987</v>
      </c>
      <c r="H6" s="6">
        <f>IFERROR(1-SUMIFS(Sales_Data!$L$2:$L$865,Sales_Data!$B$2:$B$865,2025,Sales_Data!$G$2:$G$865,$B6)/SUMIFS(Sales_Data!$K$2:$K$865,Sales_Data!$B$2:$B$865,2025,Sales_Data!$G$2:$G$865,$B6),0)</f>
        <v>0.10485974113152718</v>
      </c>
      <c r="I6" s="5">
        <f>SUMIFS(Sales_Data!$Q$2:$Q$865,Sales_Data!$B$2:$B$865,2025,Sales_Data!$G$2:$G$865,$B6)</f>
        <v>43839.35</v>
      </c>
      <c r="J6" s="6">
        <f>INDEX(Assumed_scenario!$B$2:$B$6,MATCH($A6,Assumed_scenario!$A$2:$A$6,0))</f>
        <v>0.08</v>
      </c>
      <c r="K6" s="6">
        <f>INDEX(Assumed_scenario!$C$2:$C$6,MATCH($A6,Assumed_scenario!$A$2:$A$6,0))</f>
        <v>0.02</v>
      </c>
      <c r="L6" s="6">
        <f>INDEX(Assumed_scenario!$D$2:$D$6,MATCH($A6,Assumed_scenario!$A$2:$A$6,0))</f>
        <v>0.04</v>
      </c>
      <c r="M6" s="6">
        <f>INDEX(Assumed_scenario!$E$2:$E$6,MATCH($A6,Assumed_scenario!$A$2:$A$6,0))</f>
        <v>0</v>
      </c>
      <c r="N6" s="6">
        <f>INDEX(Assumed_scenario!$F$2:$F$6,MATCH($A6,Assumed_scenario!$A$2:$A$6,0))</f>
        <v>0.05</v>
      </c>
      <c r="O6" s="5">
        <f t="shared" si="0"/>
        <v>14364.000000000002</v>
      </c>
      <c r="P6" s="28">
        <f t="shared" si="1"/>
        <v>239.24381918796999</v>
      </c>
      <c r="Q6" s="28">
        <f t="shared" si="2"/>
        <v>172.32992439097748</v>
      </c>
      <c r="R6" s="6">
        <f t="shared" si="3"/>
        <v>0.10485974113152718</v>
      </c>
      <c r="S6" s="5">
        <f t="shared" si="4"/>
        <v>3436498.2188160014</v>
      </c>
      <c r="T6" s="5">
        <f t="shared" si="5"/>
        <v>3076147.9051920013</v>
      </c>
      <c r="U6" s="5">
        <f t="shared" si="6"/>
        <v>2475347.033952001</v>
      </c>
      <c r="V6" s="5">
        <f t="shared" si="7"/>
        <v>600800.87124000024</v>
      </c>
      <c r="W6" s="6">
        <f t="shared" si="8"/>
        <v>0.19530948763092734</v>
      </c>
      <c r="X6" s="5">
        <f t="shared" si="9"/>
        <v>46031.317499999997</v>
      </c>
    </row>
    <row r="7" spans="1:24" ht="15" customHeight="1" x14ac:dyDescent="0.3">
      <c r="A7" s="4" t="s">
        <v>66</v>
      </c>
      <c r="B7" s="4" t="s">
        <v>35</v>
      </c>
      <c r="C7" s="4" t="str">
        <f>INDEX(Master_Data!$B$2:$B$7,MATCH($B7,Master_Data!$A$2:$A$7,0))</f>
        <v>Wireless Mouse</v>
      </c>
      <c r="D7" s="4" t="str">
        <f>INDEX(Master_Data!$F$2:$F$7,MATCH($B7,Master_Data!$A$2:$A$7,0))</f>
        <v>Mature</v>
      </c>
      <c r="E7" s="5">
        <f>SUMIFS(Sales_Data!$H$2:$H$865,Sales_Data!$B$2:$B$865,2025,Sales_Data!$G$2:$G$865,$B7)</f>
        <v>47593</v>
      </c>
      <c r="F7" s="28">
        <f>IFERROR(SUMIFS(Sales_Data!$K$2:$K$865,Sales_Data!$B$2:$B$865,2025,Sales_Data!$G$2:$G$865,$B7)/E7,0)</f>
        <v>11.727350030466665</v>
      </c>
      <c r="G7" s="28">
        <f>IFERROR(SUMIFS(Sales_Data!$N$2:$N$865,Sales_Data!$B$2:$B$865,2025,Sales_Data!$G$2:$G$865,$B7)/E7,0)</f>
        <v>6.1056006135356036</v>
      </c>
      <c r="H7" s="6">
        <f>IFERROR(1-SUMIFS(Sales_Data!$L$2:$L$865,Sales_Data!$B$2:$B$865,2025,Sales_Data!$G$2:$G$865,$B7)/SUMIFS(Sales_Data!$K$2:$K$865,Sales_Data!$B$2:$B$865,2025,Sales_Data!$G$2:$G$865,$B7),0)</f>
        <v>0.10439854518877956</v>
      </c>
      <c r="I7" s="5">
        <f>SUMIFS(Sales_Data!$Q$2:$Q$865,Sales_Data!$B$2:$B$865,2025,Sales_Data!$G$2:$G$865,$B7)</f>
        <v>20847.370000000003</v>
      </c>
      <c r="J7" s="6">
        <f>INDEX(Assumed_scenario!$B$2:$B$6,MATCH($A7,Assumed_scenario!$A$2:$A$6,0))</f>
        <v>0.08</v>
      </c>
      <c r="K7" s="6">
        <f>INDEX(Assumed_scenario!$C$2:$C$6,MATCH($A7,Assumed_scenario!$A$2:$A$6,0))</f>
        <v>0.02</v>
      </c>
      <c r="L7" s="6">
        <f>INDEX(Assumed_scenario!$D$2:$D$6,MATCH($A7,Assumed_scenario!$A$2:$A$6,0))</f>
        <v>0.04</v>
      </c>
      <c r="M7" s="6">
        <f>INDEX(Assumed_scenario!$E$2:$E$6,MATCH($A7,Assumed_scenario!$A$2:$A$6,0))</f>
        <v>0</v>
      </c>
      <c r="N7" s="6">
        <f>INDEX(Assumed_scenario!$F$2:$F$6,MATCH($A7,Assumed_scenario!$A$2:$A$6,0))</f>
        <v>0.05</v>
      </c>
      <c r="O7" s="5">
        <f t="shared" si="0"/>
        <v>51400.44</v>
      </c>
      <c r="P7" s="28">
        <f t="shared" si="1"/>
        <v>11.961897031075999</v>
      </c>
      <c r="Q7" s="28">
        <f t="shared" si="2"/>
        <v>6.3498246380770276</v>
      </c>
      <c r="R7" s="6">
        <f t="shared" si="3"/>
        <v>0.10439854518877956</v>
      </c>
      <c r="S7" s="5">
        <f t="shared" si="4"/>
        <v>614846.77063200006</v>
      </c>
      <c r="T7" s="5">
        <f t="shared" si="5"/>
        <v>550657.66226400004</v>
      </c>
      <c r="U7" s="5">
        <f t="shared" si="6"/>
        <v>326383.78031999996</v>
      </c>
      <c r="V7" s="5">
        <f t="shared" si="7"/>
        <v>224273.88194400008</v>
      </c>
      <c r="W7" s="6">
        <f t="shared" si="8"/>
        <v>0.40728368515187785</v>
      </c>
      <c r="X7" s="5">
        <f t="shared" si="9"/>
        <v>21889.738500000003</v>
      </c>
    </row>
    <row r="8" spans="1:24" ht="15" customHeight="1" x14ac:dyDescent="0.3">
      <c r="A8" s="4" t="s">
        <v>66</v>
      </c>
      <c r="B8" s="4" t="s">
        <v>36</v>
      </c>
      <c r="C8" s="4" t="str">
        <f>INDEX(Master_Data!$B$2:$B$7,MATCH($B8,Master_Data!$A$2:$A$7,0))</f>
        <v>Office Software Bundle</v>
      </c>
      <c r="D8" s="4" t="str">
        <f>INDEX(Master_Data!$F$2:$F$7,MATCH($B8,Master_Data!$A$2:$A$7,0))</f>
        <v>Growth</v>
      </c>
      <c r="E8" s="5">
        <f>SUMIFS(Sales_Data!$H$2:$H$865,Sales_Data!$B$2:$B$865,2025,Sales_Data!$G$2:$G$865,$B8)</f>
        <v>15105</v>
      </c>
      <c r="F8" s="28">
        <f>IFERROR(SUMIFS(Sales_Data!$K$2:$K$865,Sales_Data!$B$2:$B$865,2025,Sales_Data!$G$2:$G$865,$B8)/E8,0)</f>
        <v>71.210546176762676</v>
      </c>
      <c r="G8" s="28">
        <f>IFERROR(SUMIFS(Sales_Data!$N$2:$N$865,Sales_Data!$B$2:$B$865,2025,Sales_Data!$G$2:$G$865,$B8)/E8,0)</f>
        <v>15.701255213505462</v>
      </c>
      <c r="H8" s="6">
        <f>IFERROR(1-SUMIFS(Sales_Data!$L$2:$L$865,Sales_Data!$B$2:$B$865,2025,Sales_Data!$G$2:$G$865,$B8)/SUMIFS(Sales_Data!$K$2:$K$865,Sales_Data!$B$2:$B$865,2025,Sales_Data!$G$2:$G$865,$B8),0)</f>
        <v>8.9309229624576547E-2</v>
      </c>
      <c r="I8" s="5">
        <f>SUMIFS(Sales_Data!$Q$2:$Q$865,Sales_Data!$B$2:$B$865,2025,Sales_Data!$G$2:$G$865,$B8)</f>
        <v>28662.930000000008</v>
      </c>
      <c r="J8" s="6">
        <f>INDEX(Assumed_scenario!$B$2:$B$6,MATCH($A8,Assumed_scenario!$A$2:$A$6,0))</f>
        <v>0.08</v>
      </c>
      <c r="K8" s="6">
        <f>INDEX(Assumed_scenario!$C$2:$C$6,MATCH($A8,Assumed_scenario!$A$2:$A$6,0))</f>
        <v>0.02</v>
      </c>
      <c r="L8" s="6">
        <f>INDEX(Assumed_scenario!$D$2:$D$6,MATCH($A8,Assumed_scenario!$A$2:$A$6,0))</f>
        <v>0.04</v>
      </c>
      <c r="M8" s="6">
        <f>INDEX(Assumed_scenario!$E$2:$E$6,MATCH($A8,Assumed_scenario!$A$2:$A$6,0))</f>
        <v>0</v>
      </c>
      <c r="N8" s="6">
        <f>INDEX(Assumed_scenario!$F$2:$F$6,MATCH($A8,Assumed_scenario!$A$2:$A$6,0))</f>
        <v>0.05</v>
      </c>
      <c r="O8" s="5">
        <f t="shared" si="0"/>
        <v>16313.400000000001</v>
      </c>
      <c r="P8" s="28">
        <f t="shared" si="1"/>
        <v>72.634757100297932</v>
      </c>
      <c r="Q8" s="28">
        <f t="shared" si="2"/>
        <v>16.329305422045682</v>
      </c>
      <c r="R8" s="6">
        <f t="shared" si="3"/>
        <v>8.9309229624576547E-2</v>
      </c>
      <c r="S8" s="5">
        <f t="shared" si="4"/>
        <v>1184919.8464800003</v>
      </c>
      <c r="T8" s="5">
        <f t="shared" si="5"/>
        <v>1079095.567824</v>
      </c>
      <c r="U8" s="5">
        <f t="shared" si="6"/>
        <v>266386.49107200006</v>
      </c>
      <c r="V8" s="5">
        <f t="shared" si="7"/>
        <v>812709.07675200002</v>
      </c>
      <c r="W8" s="6">
        <f t="shared" si="8"/>
        <v>0.75313911110841714</v>
      </c>
      <c r="X8" s="5">
        <f t="shared" si="9"/>
        <v>30096.07650000001</v>
      </c>
    </row>
    <row r="9" spans="1:24" ht="15" customHeight="1" x14ac:dyDescent="0.3">
      <c r="A9" s="4" t="s">
        <v>66</v>
      </c>
      <c r="B9" s="4" t="s">
        <v>37</v>
      </c>
      <c r="C9" s="4" t="str">
        <f>INDEX(Master_Data!$B$2:$B$7,MATCH($B9,Master_Data!$A$2:$A$7,0))</f>
        <v>Extended Warranty 2Y</v>
      </c>
      <c r="D9" s="4" t="str">
        <f>INDEX(Master_Data!$F$2:$F$7,MATCH($B9,Master_Data!$A$2:$A$7,0))</f>
        <v>Mature</v>
      </c>
      <c r="E9" s="5">
        <f>SUMIFS(Sales_Data!$H$2:$H$865,Sales_Data!$B$2:$B$865,2025,Sales_Data!$G$2:$G$865,$B9)</f>
        <v>10757</v>
      </c>
      <c r="F9" s="28">
        <f>IFERROR(SUMIFS(Sales_Data!$K$2:$K$865,Sales_Data!$B$2:$B$865,2025,Sales_Data!$G$2:$G$865,$B9)/E9,0)</f>
        <v>54.450259365994242</v>
      </c>
      <c r="G9" s="28">
        <f>IFERROR(SUMIFS(Sales_Data!$N$2:$N$865,Sales_Data!$B$2:$B$865,2025,Sales_Data!$G$2:$G$865,$B9)/E9,0)</f>
        <v>7.8466459049921005</v>
      </c>
      <c r="H9" s="6">
        <f>IFERROR(1-SUMIFS(Sales_Data!$L$2:$L$865,Sales_Data!$B$2:$B$865,2025,Sales_Data!$G$2:$G$865,$B9)/SUMIFS(Sales_Data!$K$2:$K$865,Sales_Data!$B$2:$B$865,2025,Sales_Data!$G$2:$G$865,$B9),0)</f>
        <v>6.34100571766677E-2</v>
      </c>
      <c r="I9" s="5">
        <f>SUMIFS(Sales_Data!$Q$2:$Q$865,Sales_Data!$B$2:$B$865,2025,Sales_Data!$G$2:$G$865,$B9)</f>
        <v>19209.869999999995</v>
      </c>
      <c r="J9" s="6">
        <f>INDEX(Assumed_scenario!$B$2:$B$6,MATCH($A9,Assumed_scenario!$A$2:$A$6,0))</f>
        <v>0.08</v>
      </c>
      <c r="K9" s="6">
        <f>INDEX(Assumed_scenario!$C$2:$C$6,MATCH($A9,Assumed_scenario!$A$2:$A$6,0))</f>
        <v>0.02</v>
      </c>
      <c r="L9" s="6">
        <f>INDEX(Assumed_scenario!$D$2:$D$6,MATCH($A9,Assumed_scenario!$A$2:$A$6,0))</f>
        <v>0.04</v>
      </c>
      <c r="M9" s="6">
        <f>INDEX(Assumed_scenario!$E$2:$E$6,MATCH($A9,Assumed_scenario!$A$2:$A$6,0))</f>
        <v>0</v>
      </c>
      <c r="N9" s="6">
        <f>INDEX(Assumed_scenario!$F$2:$F$6,MATCH($A9,Assumed_scenario!$A$2:$A$6,0))</f>
        <v>0.05</v>
      </c>
      <c r="O9" s="5">
        <f t="shared" si="0"/>
        <v>11617.560000000001</v>
      </c>
      <c r="P9" s="28">
        <f t="shared" si="1"/>
        <v>55.539264553314126</v>
      </c>
      <c r="Q9" s="28">
        <f t="shared" si="2"/>
        <v>8.1605117411917849</v>
      </c>
      <c r="R9" s="6">
        <f t="shared" si="3"/>
        <v>6.34100571766677E-2</v>
      </c>
      <c r="S9" s="5">
        <f t="shared" si="4"/>
        <v>645230.73830400012</v>
      </c>
      <c r="T9" s="5">
        <f t="shared" si="5"/>
        <v>604316.62029599992</v>
      </c>
      <c r="U9" s="5">
        <f t="shared" si="6"/>
        <v>94805.234784000044</v>
      </c>
      <c r="V9" s="5">
        <f t="shared" si="7"/>
        <v>509511.38551199989</v>
      </c>
      <c r="W9" s="6">
        <f t="shared" si="8"/>
        <v>0.8431199281966405</v>
      </c>
      <c r="X9" s="5">
        <f t="shared" si="9"/>
        <v>20170.363499999996</v>
      </c>
    </row>
    <row r="10" spans="1:24" ht="15" customHeight="1" x14ac:dyDescent="0.3">
      <c r="A10" s="4" t="s">
        <v>125</v>
      </c>
      <c r="B10" s="4" t="s">
        <v>22</v>
      </c>
      <c r="C10" s="4" t="str">
        <f>INDEX(Master_Data!$B$2:$B$7,MATCH($B10,Master_Data!$A$2:$A$7,0))</f>
        <v>AeroBook 13 Laptop</v>
      </c>
      <c r="D10" s="4" t="str">
        <f>INDEX(Master_Data!$F$2:$F$7,MATCH($B10,Master_Data!$A$2:$A$7,0))</f>
        <v>Growth</v>
      </c>
      <c r="E10" s="5">
        <f>SUMIFS(Sales_Data!$H$2:$H$865,Sales_Data!$B$2:$B$865,2025,Sales_Data!$G$2:$G$865,$B10)</f>
        <v>8883</v>
      </c>
      <c r="F10" s="28">
        <f>IFERROR(SUMIFS(Sales_Data!$K$2:$K$865,Sales_Data!$B$2:$B$865,2025,Sales_Data!$G$2:$G$865,$B10)/E10,0)</f>
        <v>519.44021501744908</v>
      </c>
      <c r="G10" s="28">
        <f>IFERROR(SUMIFS(Sales_Data!$N$2:$N$865,Sales_Data!$B$2:$B$865,2025,Sales_Data!$G$2:$G$865,$B10)/E10,0)</f>
        <v>405.52950354609919</v>
      </c>
      <c r="H10" s="6">
        <f>IFERROR(1-SUMIFS(Sales_Data!$L$2:$L$865,Sales_Data!$B$2:$B$865,2025,Sales_Data!$G$2:$G$865,$B10)/SUMIFS(Sales_Data!$K$2:$K$865,Sales_Data!$B$2:$B$865,2025,Sales_Data!$G$2:$G$865,$B10),0)</f>
        <v>9.6453678302357182E-2</v>
      </c>
      <c r="I10" s="5">
        <f>SUMIFS(Sales_Data!$Q$2:$Q$865,Sales_Data!$B$2:$B$865,2025,Sales_Data!$G$2:$G$865,$B10)</f>
        <v>60635.430000000008</v>
      </c>
      <c r="J10" s="6">
        <f>INDEX(Assumed_scenario!$B$2:$B$6,MATCH($A10,Assumed_scenario!$A$2:$A$6,0))</f>
        <v>0.14000000000000001</v>
      </c>
      <c r="K10" s="6">
        <f>INDEX(Assumed_scenario!$C$2:$C$6,MATCH($A10,Assumed_scenario!$A$2:$A$6,0))</f>
        <v>0.04</v>
      </c>
      <c r="L10" s="6">
        <f>INDEX(Assumed_scenario!$D$2:$D$6,MATCH($A10,Assumed_scenario!$A$2:$A$6,0))</f>
        <v>0.02</v>
      </c>
      <c r="M10" s="6">
        <f>INDEX(Assumed_scenario!$E$2:$E$6,MATCH($A10,Assumed_scenario!$A$2:$A$6,0))</f>
        <v>-0.01</v>
      </c>
      <c r="N10" s="6">
        <f>INDEX(Assumed_scenario!$F$2:$F$6,MATCH($A10,Assumed_scenario!$A$2:$A$6,0))</f>
        <v>0.1</v>
      </c>
      <c r="O10" s="5">
        <f t="shared" si="0"/>
        <v>10126.620000000001</v>
      </c>
      <c r="P10" s="28">
        <f t="shared" si="1"/>
        <v>540.21782361814701</v>
      </c>
      <c r="Q10" s="28">
        <f t="shared" si="2"/>
        <v>413.64009361702119</v>
      </c>
      <c r="R10" s="6">
        <f t="shared" si="3"/>
        <v>8.6453678302357187E-2</v>
      </c>
      <c r="S10" s="5">
        <f t="shared" si="4"/>
        <v>5470580.6170080006</v>
      </c>
      <c r="T10" s="5">
        <f t="shared" si="5"/>
        <v>4997628.8002180802</v>
      </c>
      <c r="U10" s="5">
        <f t="shared" si="6"/>
        <v>4188776.0448239995</v>
      </c>
      <c r="V10" s="5">
        <f t="shared" si="7"/>
        <v>808852.75539408065</v>
      </c>
      <c r="W10" s="6">
        <f t="shared" si="8"/>
        <v>0.1618473055379353</v>
      </c>
      <c r="X10" s="5">
        <f t="shared" si="9"/>
        <v>66698.973000000013</v>
      </c>
    </row>
    <row r="11" spans="1:24" ht="15" customHeight="1" x14ac:dyDescent="0.3">
      <c r="A11" s="4" t="s">
        <v>125</v>
      </c>
      <c r="B11" s="4" t="s">
        <v>33</v>
      </c>
      <c r="C11" s="4" t="str">
        <f>INDEX(Master_Data!$B$2:$B$7,MATCH($B11,Master_Data!$A$2:$A$7,0))</f>
        <v>ProBook 15 Laptop</v>
      </c>
      <c r="D11" s="4" t="str">
        <f>INDEX(Master_Data!$F$2:$F$7,MATCH($B11,Master_Data!$A$2:$A$7,0))</f>
        <v>Mature</v>
      </c>
      <c r="E11" s="5">
        <f>SUMIFS(Sales_Data!$H$2:$H$865,Sales_Data!$B$2:$B$865,2025,Sales_Data!$G$2:$G$865,$B11)</f>
        <v>5711</v>
      </c>
      <c r="F11" s="28">
        <f>IFERROR(SUMIFS(Sales_Data!$K$2:$K$865,Sales_Data!$B$2:$B$865,2025,Sales_Data!$G$2:$G$865,$B11)/E11,0)</f>
        <v>737.11290842234268</v>
      </c>
      <c r="G11" s="28">
        <f>IFERROR(SUMIFS(Sales_Data!$N$2:$N$865,Sales_Data!$B$2:$B$865,2025,Sales_Data!$G$2:$G$865,$B11)/E11,0)</f>
        <v>601.75935212747345</v>
      </c>
      <c r="H11" s="6">
        <f>IFERROR(1-SUMIFS(Sales_Data!$L$2:$L$865,Sales_Data!$B$2:$B$865,2025,Sales_Data!$G$2:$G$865,$B11)/SUMIFS(Sales_Data!$K$2:$K$865,Sales_Data!$B$2:$B$865,2025,Sales_Data!$G$2:$G$865,$B11),0)</f>
        <v>9.5687189160456598E-2</v>
      </c>
      <c r="I11" s="5">
        <f>SUMIFS(Sales_Data!$Q$2:$Q$865,Sales_Data!$B$2:$B$865,2025,Sales_Data!$G$2:$G$865,$B11)</f>
        <v>60576.499999999993</v>
      </c>
      <c r="J11" s="6">
        <f>INDEX(Assumed_scenario!$B$2:$B$6,MATCH($A11,Assumed_scenario!$A$2:$A$6,0))</f>
        <v>0.14000000000000001</v>
      </c>
      <c r="K11" s="6">
        <f>INDEX(Assumed_scenario!$C$2:$C$6,MATCH($A11,Assumed_scenario!$A$2:$A$6,0))</f>
        <v>0.04</v>
      </c>
      <c r="L11" s="6">
        <f>INDEX(Assumed_scenario!$D$2:$D$6,MATCH($A11,Assumed_scenario!$A$2:$A$6,0))</f>
        <v>0.02</v>
      </c>
      <c r="M11" s="6">
        <f>INDEX(Assumed_scenario!$E$2:$E$6,MATCH($A11,Assumed_scenario!$A$2:$A$6,0))</f>
        <v>-0.01</v>
      </c>
      <c r="N11" s="6">
        <f>INDEX(Assumed_scenario!$F$2:$F$6,MATCH($A11,Assumed_scenario!$A$2:$A$6,0))</f>
        <v>0.1</v>
      </c>
      <c r="O11" s="5">
        <f t="shared" si="0"/>
        <v>6510.5400000000009</v>
      </c>
      <c r="P11" s="28">
        <f t="shared" si="1"/>
        <v>766.59742475923645</v>
      </c>
      <c r="Q11" s="28">
        <f t="shared" si="2"/>
        <v>613.79453917002297</v>
      </c>
      <c r="R11" s="6">
        <f t="shared" si="3"/>
        <v>8.5687189160456603E-2</v>
      </c>
      <c r="S11" s="5">
        <f t="shared" si="4"/>
        <v>4990963.1977920001</v>
      </c>
      <c r="T11" s="5">
        <f t="shared" si="5"/>
        <v>4563301.5901699197</v>
      </c>
      <c r="U11" s="5">
        <f t="shared" si="6"/>
        <v>3996133.899048002</v>
      </c>
      <c r="V11" s="5">
        <f t="shared" si="7"/>
        <v>567167.69112191768</v>
      </c>
      <c r="W11" s="6">
        <f t="shared" si="8"/>
        <v>0.124288890382281</v>
      </c>
      <c r="X11" s="5">
        <f t="shared" si="9"/>
        <v>66634.149999999994</v>
      </c>
    </row>
    <row r="12" spans="1:24" ht="15" customHeight="1" x14ac:dyDescent="0.3">
      <c r="A12" s="4" t="s">
        <v>125</v>
      </c>
      <c r="B12" s="4" t="s">
        <v>34</v>
      </c>
      <c r="C12" s="4" t="str">
        <f>INDEX(Master_Data!$B$2:$B$7,MATCH($B12,Master_Data!$A$2:$A$7,0))</f>
        <v>LiteTab 10 Tablet</v>
      </c>
      <c r="D12" s="4" t="str">
        <f>INDEX(Master_Data!$F$2:$F$7,MATCH($B12,Master_Data!$A$2:$A$7,0))</f>
        <v>Growth</v>
      </c>
      <c r="E12" s="5">
        <f>SUMIFS(Sales_Data!$H$2:$H$865,Sales_Data!$B$2:$B$865,2025,Sales_Data!$G$2:$G$865,$B12)</f>
        <v>13300</v>
      </c>
      <c r="F12" s="28">
        <f>IFERROR(SUMIFS(Sales_Data!$K$2:$K$865,Sales_Data!$B$2:$B$865,2025,Sales_Data!$G$2:$G$865,$B12)/E12,0)</f>
        <v>234.55276390977448</v>
      </c>
      <c r="G12" s="28">
        <f>IFERROR(SUMIFS(Sales_Data!$N$2:$N$865,Sales_Data!$B$2:$B$865,2025,Sales_Data!$G$2:$G$865,$B12)/E12,0)</f>
        <v>165.70185037593987</v>
      </c>
      <c r="H12" s="6">
        <f>IFERROR(1-SUMIFS(Sales_Data!$L$2:$L$865,Sales_Data!$B$2:$B$865,2025,Sales_Data!$G$2:$G$865,$B12)/SUMIFS(Sales_Data!$K$2:$K$865,Sales_Data!$B$2:$B$865,2025,Sales_Data!$G$2:$G$865,$B12),0)</f>
        <v>0.10485974113152718</v>
      </c>
      <c r="I12" s="5">
        <f>SUMIFS(Sales_Data!$Q$2:$Q$865,Sales_Data!$B$2:$B$865,2025,Sales_Data!$G$2:$G$865,$B12)</f>
        <v>43839.35</v>
      </c>
      <c r="J12" s="6">
        <f>INDEX(Assumed_scenario!$B$2:$B$6,MATCH($A12,Assumed_scenario!$A$2:$A$6,0))</f>
        <v>0.14000000000000001</v>
      </c>
      <c r="K12" s="6">
        <f>INDEX(Assumed_scenario!$C$2:$C$6,MATCH($A12,Assumed_scenario!$A$2:$A$6,0))</f>
        <v>0.04</v>
      </c>
      <c r="L12" s="6">
        <f>INDEX(Assumed_scenario!$D$2:$D$6,MATCH($A12,Assumed_scenario!$A$2:$A$6,0))</f>
        <v>0.02</v>
      </c>
      <c r="M12" s="6">
        <f>INDEX(Assumed_scenario!$E$2:$E$6,MATCH($A12,Assumed_scenario!$A$2:$A$6,0))</f>
        <v>-0.01</v>
      </c>
      <c r="N12" s="6">
        <f>INDEX(Assumed_scenario!$F$2:$F$6,MATCH($A12,Assumed_scenario!$A$2:$A$6,0))</f>
        <v>0.1</v>
      </c>
      <c r="O12" s="5">
        <f t="shared" si="0"/>
        <v>15162.000000000002</v>
      </c>
      <c r="P12" s="28">
        <f t="shared" si="1"/>
        <v>243.93487446616547</v>
      </c>
      <c r="Q12" s="28">
        <f t="shared" si="2"/>
        <v>169.01588738345868</v>
      </c>
      <c r="R12" s="6">
        <f t="shared" si="3"/>
        <v>9.4859741131527189E-2</v>
      </c>
      <c r="S12" s="5">
        <f t="shared" si="4"/>
        <v>3698540.5666560014</v>
      </c>
      <c r="T12" s="5">
        <f t="shared" si="5"/>
        <v>3347697.9659385611</v>
      </c>
      <c r="U12" s="5">
        <f t="shared" si="6"/>
        <v>2562618.8845080007</v>
      </c>
      <c r="V12" s="5">
        <f t="shared" si="7"/>
        <v>785079.08143056044</v>
      </c>
      <c r="W12" s="6">
        <f t="shared" si="8"/>
        <v>0.23451311600341926</v>
      </c>
      <c r="X12" s="5">
        <f t="shared" si="9"/>
        <v>48223.285000000003</v>
      </c>
    </row>
    <row r="13" spans="1:24" ht="15" customHeight="1" x14ac:dyDescent="0.3">
      <c r="A13" s="4" t="s">
        <v>125</v>
      </c>
      <c r="B13" s="4" t="s">
        <v>35</v>
      </c>
      <c r="C13" s="4" t="str">
        <f>INDEX(Master_Data!$B$2:$B$7,MATCH($B13,Master_Data!$A$2:$A$7,0))</f>
        <v>Wireless Mouse</v>
      </c>
      <c r="D13" s="4" t="str">
        <f>INDEX(Master_Data!$F$2:$F$7,MATCH($B13,Master_Data!$A$2:$A$7,0))</f>
        <v>Mature</v>
      </c>
      <c r="E13" s="5">
        <f>SUMIFS(Sales_Data!$H$2:$H$865,Sales_Data!$B$2:$B$865,2025,Sales_Data!$G$2:$G$865,$B13)</f>
        <v>47593</v>
      </c>
      <c r="F13" s="28">
        <f>IFERROR(SUMIFS(Sales_Data!$K$2:$K$865,Sales_Data!$B$2:$B$865,2025,Sales_Data!$G$2:$G$865,$B13)/E13,0)</f>
        <v>11.727350030466665</v>
      </c>
      <c r="G13" s="28">
        <f>IFERROR(SUMIFS(Sales_Data!$N$2:$N$865,Sales_Data!$B$2:$B$865,2025,Sales_Data!$G$2:$G$865,$B13)/E13,0)</f>
        <v>6.1056006135356036</v>
      </c>
      <c r="H13" s="6">
        <f>IFERROR(1-SUMIFS(Sales_Data!$L$2:$L$865,Sales_Data!$B$2:$B$865,2025,Sales_Data!$G$2:$G$865,$B13)/SUMIFS(Sales_Data!$K$2:$K$865,Sales_Data!$B$2:$B$865,2025,Sales_Data!$G$2:$G$865,$B13),0)</f>
        <v>0.10439854518877956</v>
      </c>
      <c r="I13" s="5">
        <f>SUMIFS(Sales_Data!$Q$2:$Q$865,Sales_Data!$B$2:$B$865,2025,Sales_Data!$G$2:$G$865,$B13)</f>
        <v>20847.370000000003</v>
      </c>
      <c r="J13" s="6">
        <f>INDEX(Assumed_scenario!$B$2:$B$6,MATCH($A13,Assumed_scenario!$A$2:$A$6,0))</f>
        <v>0.14000000000000001</v>
      </c>
      <c r="K13" s="6">
        <f>INDEX(Assumed_scenario!$C$2:$C$6,MATCH($A13,Assumed_scenario!$A$2:$A$6,0))</f>
        <v>0.04</v>
      </c>
      <c r="L13" s="6">
        <f>INDEX(Assumed_scenario!$D$2:$D$6,MATCH($A13,Assumed_scenario!$A$2:$A$6,0))</f>
        <v>0.02</v>
      </c>
      <c r="M13" s="6">
        <f>INDEX(Assumed_scenario!$E$2:$E$6,MATCH($A13,Assumed_scenario!$A$2:$A$6,0))</f>
        <v>-0.01</v>
      </c>
      <c r="N13" s="6">
        <f>INDEX(Assumed_scenario!$F$2:$F$6,MATCH($A13,Assumed_scenario!$A$2:$A$6,0))</f>
        <v>0.1</v>
      </c>
      <c r="O13" s="5">
        <f t="shared" si="0"/>
        <v>54256.020000000004</v>
      </c>
      <c r="P13" s="28">
        <f t="shared" si="1"/>
        <v>12.196444031685331</v>
      </c>
      <c r="Q13" s="28">
        <f t="shared" si="2"/>
        <v>6.2277126258063156</v>
      </c>
      <c r="R13" s="6">
        <f t="shared" si="3"/>
        <v>9.4398545188779562E-2</v>
      </c>
      <c r="S13" s="5">
        <f t="shared" si="4"/>
        <v>661730.51131199999</v>
      </c>
      <c r="T13" s="5">
        <f t="shared" si="5"/>
        <v>599264.11373711994</v>
      </c>
      <c r="U13" s="5">
        <f t="shared" si="6"/>
        <v>337890.90078000003</v>
      </c>
      <c r="V13" s="5">
        <f t="shared" si="7"/>
        <v>261373.21295711992</v>
      </c>
      <c r="W13" s="6">
        <f t="shared" si="8"/>
        <v>0.43615695811843136</v>
      </c>
      <c r="X13" s="5">
        <f t="shared" si="9"/>
        <v>22932.107000000004</v>
      </c>
    </row>
    <row r="14" spans="1:24" ht="15" customHeight="1" x14ac:dyDescent="0.3">
      <c r="A14" s="4" t="s">
        <v>125</v>
      </c>
      <c r="B14" s="4" t="s">
        <v>36</v>
      </c>
      <c r="C14" s="4" t="str">
        <f>INDEX(Master_Data!$B$2:$B$7,MATCH($B14,Master_Data!$A$2:$A$7,0))</f>
        <v>Office Software Bundle</v>
      </c>
      <c r="D14" s="4" t="str">
        <f>INDEX(Master_Data!$F$2:$F$7,MATCH($B14,Master_Data!$A$2:$A$7,0))</f>
        <v>Growth</v>
      </c>
      <c r="E14" s="5">
        <f>SUMIFS(Sales_Data!$H$2:$H$865,Sales_Data!$B$2:$B$865,2025,Sales_Data!$G$2:$G$865,$B14)</f>
        <v>15105</v>
      </c>
      <c r="F14" s="28">
        <f>IFERROR(SUMIFS(Sales_Data!$K$2:$K$865,Sales_Data!$B$2:$B$865,2025,Sales_Data!$G$2:$G$865,$B14)/E14,0)</f>
        <v>71.210546176762676</v>
      </c>
      <c r="G14" s="28">
        <f>IFERROR(SUMIFS(Sales_Data!$N$2:$N$865,Sales_Data!$B$2:$B$865,2025,Sales_Data!$G$2:$G$865,$B14)/E14,0)</f>
        <v>15.701255213505462</v>
      </c>
      <c r="H14" s="6">
        <f>IFERROR(1-SUMIFS(Sales_Data!$L$2:$L$865,Sales_Data!$B$2:$B$865,2025,Sales_Data!$G$2:$G$865,$B14)/SUMIFS(Sales_Data!$K$2:$K$865,Sales_Data!$B$2:$B$865,2025,Sales_Data!$G$2:$G$865,$B14),0)</f>
        <v>8.9309229624576547E-2</v>
      </c>
      <c r="I14" s="5">
        <f>SUMIFS(Sales_Data!$Q$2:$Q$865,Sales_Data!$B$2:$B$865,2025,Sales_Data!$G$2:$G$865,$B14)</f>
        <v>28662.930000000008</v>
      </c>
      <c r="J14" s="6">
        <f>INDEX(Assumed_scenario!$B$2:$B$6,MATCH($A14,Assumed_scenario!$A$2:$A$6,0))</f>
        <v>0.14000000000000001</v>
      </c>
      <c r="K14" s="6">
        <f>INDEX(Assumed_scenario!$C$2:$C$6,MATCH($A14,Assumed_scenario!$A$2:$A$6,0))</f>
        <v>0.04</v>
      </c>
      <c r="L14" s="6">
        <f>INDEX(Assumed_scenario!$D$2:$D$6,MATCH($A14,Assumed_scenario!$A$2:$A$6,0))</f>
        <v>0.02</v>
      </c>
      <c r="M14" s="6">
        <f>INDEX(Assumed_scenario!$E$2:$E$6,MATCH($A14,Assumed_scenario!$A$2:$A$6,0))</f>
        <v>-0.01</v>
      </c>
      <c r="N14" s="6">
        <f>INDEX(Assumed_scenario!$F$2:$F$6,MATCH($A14,Assumed_scenario!$A$2:$A$6,0))</f>
        <v>0.1</v>
      </c>
      <c r="O14" s="5">
        <f t="shared" si="0"/>
        <v>17219.7</v>
      </c>
      <c r="P14" s="28">
        <f t="shared" si="1"/>
        <v>74.058968023833188</v>
      </c>
      <c r="Q14" s="28">
        <f t="shared" si="2"/>
        <v>16.01528031777557</v>
      </c>
      <c r="R14" s="6">
        <f t="shared" si="3"/>
        <v>7.9309229624576552E-2</v>
      </c>
      <c r="S14" s="5">
        <f t="shared" si="4"/>
        <v>1275273.2116800004</v>
      </c>
      <c r="T14" s="5">
        <f t="shared" si="5"/>
        <v>1174132.2757008001</v>
      </c>
      <c r="U14" s="5">
        <f t="shared" si="6"/>
        <v>275778.32248799998</v>
      </c>
      <c r="V14" s="5">
        <f t="shared" si="7"/>
        <v>898353.9532128002</v>
      </c>
      <c r="W14" s="6">
        <f t="shared" si="8"/>
        <v>0.76512158962379506</v>
      </c>
      <c r="X14" s="5">
        <f t="shared" si="9"/>
        <v>31529.223000000013</v>
      </c>
    </row>
    <row r="15" spans="1:24" ht="15" customHeight="1" x14ac:dyDescent="0.3">
      <c r="A15" s="4" t="s">
        <v>125</v>
      </c>
      <c r="B15" s="4" t="s">
        <v>37</v>
      </c>
      <c r="C15" s="4" t="str">
        <f>INDEX(Master_Data!$B$2:$B$7,MATCH($B15,Master_Data!$A$2:$A$7,0))</f>
        <v>Extended Warranty 2Y</v>
      </c>
      <c r="D15" s="4" t="str">
        <f>INDEX(Master_Data!$F$2:$F$7,MATCH($B15,Master_Data!$A$2:$A$7,0))</f>
        <v>Mature</v>
      </c>
      <c r="E15" s="5">
        <f>SUMIFS(Sales_Data!$H$2:$H$865,Sales_Data!$B$2:$B$865,2025,Sales_Data!$G$2:$G$865,$B15)</f>
        <v>10757</v>
      </c>
      <c r="F15" s="28">
        <f>IFERROR(SUMIFS(Sales_Data!$K$2:$K$865,Sales_Data!$B$2:$B$865,2025,Sales_Data!$G$2:$G$865,$B15)/E15,0)</f>
        <v>54.450259365994242</v>
      </c>
      <c r="G15" s="28">
        <f>IFERROR(SUMIFS(Sales_Data!$N$2:$N$865,Sales_Data!$B$2:$B$865,2025,Sales_Data!$G$2:$G$865,$B15)/E15,0)</f>
        <v>7.8466459049921005</v>
      </c>
      <c r="H15" s="6">
        <f>IFERROR(1-SUMIFS(Sales_Data!$L$2:$L$865,Sales_Data!$B$2:$B$865,2025,Sales_Data!$G$2:$G$865,$B15)/SUMIFS(Sales_Data!$K$2:$K$865,Sales_Data!$B$2:$B$865,2025,Sales_Data!$G$2:$G$865,$B15),0)</f>
        <v>6.34100571766677E-2</v>
      </c>
      <c r="I15" s="5">
        <f>SUMIFS(Sales_Data!$Q$2:$Q$865,Sales_Data!$B$2:$B$865,2025,Sales_Data!$G$2:$G$865,$B15)</f>
        <v>19209.869999999995</v>
      </c>
      <c r="J15" s="6">
        <f>INDEX(Assumed_scenario!$B$2:$B$6,MATCH($A15,Assumed_scenario!$A$2:$A$6,0))</f>
        <v>0.14000000000000001</v>
      </c>
      <c r="K15" s="6">
        <f>INDEX(Assumed_scenario!$C$2:$C$6,MATCH($A15,Assumed_scenario!$A$2:$A$6,0))</f>
        <v>0.04</v>
      </c>
      <c r="L15" s="6">
        <f>INDEX(Assumed_scenario!$D$2:$D$6,MATCH($A15,Assumed_scenario!$A$2:$A$6,0))</f>
        <v>0.02</v>
      </c>
      <c r="M15" s="6">
        <f>INDEX(Assumed_scenario!$E$2:$E$6,MATCH($A15,Assumed_scenario!$A$2:$A$6,0))</f>
        <v>-0.01</v>
      </c>
      <c r="N15" s="6">
        <f>INDEX(Assumed_scenario!$F$2:$F$6,MATCH($A15,Assumed_scenario!$A$2:$A$6,0))</f>
        <v>0.1</v>
      </c>
      <c r="O15" s="5">
        <f t="shared" si="0"/>
        <v>12262.980000000001</v>
      </c>
      <c r="P15" s="28">
        <f t="shared" si="1"/>
        <v>56.628269740634011</v>
      </c>
      <c r="Q15" s="28">
        <f t="shared" si="2"/>
        <v>8.0035788230919422</v>
      </c>
      <c r="R15" s="6">
        <f t="shared" si="3"/>
        <v>5.3410057176667698E-2</v>
      </c>
      <c r="S15" s="5">
        <f t="shared" si="4"/>
        <v>694431.33926400018</v>
      </c>
      <c r="T15" s="5">
        <f t="shared" si="5"/>
        <v>657341.72172864003</v>
      </c>
      <c r="U15" s="5">
        <f t="shared" si="6"/>
        <v>98147.72703600004</v>
      </c>
      <c r="V15" s="5">
        <f t="shared" si="7"/>
        <v>559193.99469264003</v>
      </c>
      <c r="W15" s="6">
        <f t="shared" si="8"/>
        <v>0.85068994741746096</v>
      </c>
      <c r="X15" s="5">
        <f t="shared" si="9"/>
        <v>21130.856999999996</v>
      </c>
    </row>
    <row r="16" spans="1:24" ht="15" customHeight="1" x14ac:dyDescent="0.3">
      <c r="A16" s="4" t="s">
        <v>126</v>
      </c>
      <c r="B16" s="4" t="s">
        <v>22</v>
      </c>
      <c r="C16" s="4" t="str">
        <f>INDEX(Master_Data!$B$2:$B$7,MATCH($B16,Master_Data!$A$2:$A$7,0))</f>
        <v>AeroBook 13 Laptop</v>
      </c>
      <c r="D16" s="4" t="str">
        <f>INDEX(Master_Data!$F$2:$F$7,MATCH($B16,Master_Data!$A$2:$A$7,0))</f>
        <v>Growth</v>
      </c>
      <c r="E16" s="5">
        <f>SUMIFS(Sales_Data!$H$2:$H$865,Sales_Data!$B$2:$B$865,2025,Sales_Data!$G$2:$G$865,$B16)</f>
        <v>8883</v>
      </c>
      <c r="F16" s="28">
        <f>IFERROR(SUMIFS(Sales_Data!$K$2:$K$865,Sales_Data!$B$2:$B$865,2025,Sales_Data!$G$2:$G$865,$B16)/E16,0)</f>
        <v>519.44021501744908</v>
      </c>
      <c r="G16" s="28">
        <f>IFERROR(SUMIFS(Sales_Data!$N$2:$N$865,Sales_Data!$B$2:$B$865,2025,Sales_Data!$G$2:$G$865,$B16)/E16,0)</f>
        <v>405.52950354609919</v>
      </c>
      <c r="H16" s="6">
        <f>IFERROR(1-SUMIFS(Sales_Data!$L$2:$L$865,Sales_Data!$B$2:$B$865,2025,Sales_Data!$G$2:$G$865,$B16)/SUMIFS(Sales_Data!$K$2:$K$865,Sales_Data!$B$2:$B$865,2025,Sales_Data!$G$2:$G$865,$B16),0)</f>
        <v>9.6453678302357182E-2</v>
      </c>
      <c r="I16" s="5">
        <f>SUMIFS(Sales_Data!$Q$2:$Q$865,Sales_Data!$B$2:$B$865,2025,Sales_Data!$G$2:$G$865,$B16)</f>
        <v>60635.430000000008</v>
      </c>
      <c r="J16" s="6">
        <f>INDEX(Assumed_scenario!$B$2:$B$6,MATCH($A16,Assumed_scenario!$A$2:$A$6,0))</f>
        <v>0.02</v>
      </c>
      <c r="K16" s="6">
        <f>INDEX(Assumed_scenario!$C$2:$C$6,MATCH($A16,Assumed_scenario!$A$2:$A$6,0))</f>
        <v>0</v>
      </c>
      <c r="L16" s="6">
        <f>INDEX(Assumed_scenario!$D$2:$D$6,MATCH($A16,Assumed_scenario!$A$2:$A$6,0))</f>
        <v>0.08</v>
      </c>
      <c r="M16" s="6">
        <f>INDEX(Assumed_scenario!$E$2:$E$6,MATCH($A16,Assumed_scenario!$A$2:$A$6,0))</f>
        <v>0.02</v>
      </c>
      <c r="N16" s="6">
        <f>INDEX(Assumed_scenario!$F$2:$F$6,MATCH($A16,Assumed_scenario!$A$2:$A$6,0))</f>
        <v>-0.05</v>
      </c>
      <c r="O16" s="5">
        <f t="shared" si="0"/>
        <v>9060.66</v>
      </c>
      <c r="P16" s="28">
        <f t="shared" si="1"/>
        <v>519.44021501744908</v>
      </c>
      <c r="Q16" s="28">
        <f t="shared" si="2"/>
        <v>437.97186382978714</v>
      </c>
      <c r="R16" s="6">
        <f t="shared" si="3"/>
        <v>0.11645367830235719</v>
      </c>
      <c r="S16" s="5">
        <f t="shared" si="4"/>
        <v>4706471.1786000002</v>
      </c>
      <c r="T16" s="5">
        <f t="shared" si="5"/>
        <v>4158385.2980279997</v>
      </c>
      <c r="U16" s="5">
        <f t="shared" si="6"/>
        <v>3968314.1477279989</v>
      </c>
      <c r="V16" s="5">
        <f t="shared" si="7"/>
        <v>190071.15030000079</v>
      </c>
      <c r="W16" s="6">
        <f t="shared" si="8"/>
        <v>4.5707921868167634E-2</v>
      </c>
      <c r="X16" s="5">
        <f t="shared" si="9"/>
        <v>57603.658500000005</v>
      </c>
    </row>
    <row r="17" spans="1:24" ht="15" customHeight="1" x14ac:dyDescent="0.3">
      <c r="A17" s="4" t="s">
        <v>126</v>
      </c>
      <c r="B17" s="4" t="s">
        <v>33</v>
      </c>
      <c r="C17" s="4" t="str">
        <f>INDEX(Master_Data!$B$2:$B$7,MATCH($B17,Master_Data!$A$2:$A$7,0))</f>
        <v>ProBook 15 Laptop</v>
      </c>
      <c r="D17" s="4" t="str">
        <f>INDEX(Master_Data!$F$2:$F$7,MATCH($B17,Master_Data!$A$2:$A$7,0))</f>
        <v>Mature</v>
      </c>
      <c r="E17" s="5">
        <f>SUMIFS(Sales_Data!$H$2:$H$865,Sales_Data!$B$2:$B$865,2025,Sales_Data!$G$2:$G$865,$B17)</f>
        <v>5711</v>
      </c>
      <c r="F17" s="28">
        <f>IFERROR(SUMIFS(Sales_Data!$K$2:$K$865,Sales_Data!$B$2:$B$865,2025,Sales_Data!$G$2:$G$865,$B17)/E17,0)</f>
        <v>737.11290842234268</v>
      </c>
      <c r="G17" s="28">
        <f>IFERROR(SUMIFS(Sales_Data!$N$2:$N$865,Sales_Data!$B$2:$B$865,2025,Sales_Data!$G$2:$G$865,$B17)/E17,0)</f>
        <v>601.75935212747345</v>
      </c>
      <c r="H17" s="6">
        <f>IFERROR(1-SUMIFS(Sales_Data!$L$2:$L$865,Sales_Data!$B$2:$B$865,2025,Sales_Data!$G$2:$G$865,$B17)/SUMIFS(Sales_Data!$K$2:$K$865,Sales_Data!$B$2:$B$865,2025,Sales_Data!$G$2:$G$865,$B17),0)</f>
        <v>9.5687189160456598E-2</v>
      </c>
      <c r="I17" s="5">
        <f>SUMIFS(Sales_Data!$Q$2:$Q$865,Sales_Data!$B$2:$B$865,2025,Sales_Data!$G$2:$G$865,$B17)</f>
        <v>60576.499999999993</v>
      </c>
      <c r="J17" s="6">
        <f>INDEX(Assumed_scenario!$B$2:$B$6,MATCH($A17,Assumed_scenario!$A$2:$A$6,0))</f>
        <v>0.02</v>
      </c>
      <c r="K17" s="6">
        <f>INDEX(Assumed_scenario!$C$2:$C$6,MATCH($A17,Assumed_scenario!$A$2:$A$6,0))</f>
        <v>0</v>
      </c>
      <c r="L17" s="6">
        <f>INDEX(Assumed_scenario!$D$2:$D$6,MATCH($A17,Assumed_scenario!$A$2:$A$6,0))</f>
        <v>0.08</v>
      </c>
      <c r="M17" s="6">
        <f>INDEX(Assumed_scenario!$E$2:$E$6,MATCH($A17,Assumed_scenario!$A$2:$A$6,0))</f>
        <v>0.02</v>
      </c>
      <c r="N17" s="6">
        <f>INDEX(Assumed_scenario!$F$2:$F$6,MATCH($A17,Assumed_scenario!$A$2:$A$6,0))</f>
        <v>-0.05</v>
      </c>
      <c r="O17" s="5">
        <f t="shared" si="0"/>
        <v>5825.22</v>
      </c>
      <c r="P17" s="28">
        <f t="shared" si="1"/>
        <v>737.11290842234268</v>
      </c>
      <c r="Q17" s="28">
        <f t="shared" si="2"/>
        <v>649.90010029767132</v>
      </c>
      <c r="R17" s="6">
        <f t="shared" si="3"/>
        <v>0.1156871891604566</v>
      </c>
      <c r="S17" s="5">
        <f t="shared" si="4"/>
        <v>4293844.856399999</v>
      </c>
      <c r="T17" s="5">
        <f t="shared" si="5"/>
        <v>3797102.0142719988</v>
      </c>
      <c r="U17" s="5">
        <f t="shared" si="6"/>
        <v>3785811.0622560009</v>
      </c>
      <c r="V17" s="5">
        <f t="shared" si="7"/>
        <v>11290.952015997842</v>
      </c>
      <c r="W17" s="6">
        <f t="shared" si="8"/>
        <v>2.9735708899995424E-3</v>
      </c>
      <c r="X17" s="5">
        <f t="shared" si="9"/>
        <v>57547.674999999988</v>
      </c>
    </row>
    <row r="18" spans="1:24" ht="15" customHeight="1" x14ac:dyDescent="0.3">
      <c r="A18" s="4" t="s">
        <v>126</v>
      </c>
      <c r="B18" s="4" t="s">
        <v>34</v>
      </c>
      <c r="C18" s="4" t="str">
        <f>INDEX(Master_Data!$B$2:$B$7,MATCH($B18,Master_Data!$A$2:$A$7,0))</f>
        <v>LiteTab 10 Tablet</v>
      </c>
      <c r="D18" s="4" t="str">
        <f>INDEX(Master_Data!$F$2:$F$7,MATCH($B18,Master_Data!$A$2:$A$7,0))</f>
        <v>Growth</v>
      </c>
      <c r="E18" s="5">
        <f>SUMIFS(Sales_Data!$H$2:$H$865,Sales_Data!$B$2:$B$865,2025,Sales_Data!$G$2:$G$865,$B18)</f>
        <v>13300</v>
      </c>
      <c r="F18" s="28">
        <f>IFERROR(SUMIFS(Sales_Data!$K$2:$K$865,Sales_Data!$B$2:$B$865,2025,Sales_Data!$G$2:$G$865,$B18)/E18,0)</f>
        <v>234.55276390977448</v>
      </c>
      <c r="G18" s="28">
        <f>IFERROR(SUMIFS(Sales_Data!$N$2:$N$865,Sales_Data!$B$2:$B$865,2025,Sales_Data!$G$2:$G$865,$B18)/E18,0)</f>
        <v>165.70185037593987</v>
      </c>
      <c r="H18" s="6">
        <f>IFERROR(1-SUMIFS(Sales_Data!$L$2:$L$865,Sales_Data!$B$2:$B$865,2025,Sales_Data!$G$2:$G$865,$B18)/SUMIFS(Sales_Data!$K$2:$K$865,Sales_Data!$B$2:$B$865,2025,Sales_Data!$G$2:$G$865,$B18),0)</f>
        <v>0.10485974113152718</v>
      </c>
      <c r="I18" s="5">
        <f>SUMIFS(Sales_Data!$Q$2:$Q$865,Sales_Data!$B$2:$B$865,2025,Sales_Data!$G$2:$G$865,$B18)</f>
        <v>43839.35</v>
      </c>
      <c r="J18" s="6">
        <f>INDEX(Assumed_scenario!$B$2:$B$6,MATCH($A18,Assumed_scenario!$A$2:$A$6,0))</f>
        <v>0.02</v>
      </c>
      <c r="K18" s="6">
        <f>INDEX(Assumed_scenario!$C$2:$C$6,MATCH($A18,Assumed_scenario!$A$2:$A$6,0))</f>
        <v>0</v>
      </c>
      <c r="L18" s="6">
        <f>INDEX(Assumed_scenario!$D$2:$D$6,MATCH($A18,Assumed_scenario!$A$2:$A$6,0))</f>
        <v>0.08</v>
      </c>
      <c r="M18" s="6">
        <f>INDEX(Assumed_scenario!$E$2:$E$6,MATCH($A18,Assumed_scenario!$A$2:$A$6,0))</f>
        <v>0.02</v>
      </c>
      <c r="N18" s="6">
        <f>INDEX(Assumed_scenario!$F$2:$F$6,MATCH($A18,Assumed_scenario!$A$2:$A$6,0))</f>
        <v>-0.05</v>
      </c>
      <c r="O18" s="5">
        <f t="shared" si="0"/>
        <v>13566</v>
      </c>
      <c r="P18" s="28">
        <f t="shared" si="1"/>
        <v>234.55276390977448</v>
      </c>
      <c r="Q18" s="28">
        <f t="shared" si="2"/>
        <v>178.95799840601507</v>
      </c>
      <c r="R18" s="6">
        <f t="shared" si="3"/>
        <v>0.12485974113152719</v>
      </c>
      <c r="S18" s="5">
        <f t="shared" si="4"/>
        <v>3181942.7952000005</v>
      </c>
      <c r="T18" s="5">
        <f t="shared" si="5"/>
        <v>2784646.2414960004</v>
      </c>
      <c r="U18" s="5">
        <f t="shared" si="6"/>
        <v>2427744.2063760003</v>
      </c>
      <c r="V18" s="5">
        <f t="shared" si="7"/>
        <v>356902.03512000013</v>
      </c>
      <c r="W18" s="6">
        <f t="shared" si="8"/>
        <v>0.12816781887822887</v>
      </c>
      <c r="X18" s="5">
        <f t="shared" si="9"/>
        <v>41647.3825</v>
      </c>
    </row>
    <row r="19" spans="1:24" ht="15" customHeight="1" x14ac:dyDescent="0.3">
      <c r="A19" s="4" t="s">
        <v>126</v>
      </c>
      <c r="B19" s="4" t="s">
        <v>35</v>
      </c>
      <c r="C19" s="4" t="str">
        <f>INDEX(Master_Data!$B$2:$B$7,MATCH($B19,Master_Data!$A$2:$A$7,0))</f>
        <v>Wireless Mouse</v>
      </c>
      <c r="D19" s="4" t="str">
        <f>INDEX(Master_Data!$F$2:$F$7,MATCH($B19,Master_Data!$A$2:$A$7,0))</f>
        <v>Mature</v>
      </c>
      <c r="E19" s="5">
        <f>SUMIFS(Sales_Data!$H$2:$H$865,Sales_Data!$B$2:$B$865,2025,Sales_Data!$G$2:$G$865,$B19)</f>
        <v>47593</v>
      </c>
      <c r="F19" s="28">
        <f>IFERROR(SUMIFS(Sales_Data!$K$2:$K$865,Sales_Data!$B$2:$B$865,2025,Sales_Data!$G$2:$G$865,$B19)/E19,0)</f>
        <v>11.727350030466665</v>
      </c>
      <c r="G19" s="28">
        <f>IFERROR(SUMIFS(Sales_Data!$N$2:$N$865,Sales_Data!$B$2:$B$865,2025,Sales_Data!$G$2:$G$865,$B19)/E19,0)</f>
        <v>6.1056006135356036</v>
      </c>
      <c r="H19" s="6">
        <f>IFERROR(1-SUMIFS(Sales_Data!$L$2:$L$865,Sales_Data!$B$2:$B$865,2025,Sales_Data!$G$2:$G$865,$B19)/SUMIFS(Sales_Data!$K$2:$K$865,Sales_Data!$B$2:$B$865,2025,Sales_Data!$G$2:$G$865,$B19),0)</f>
        <v>0.10439854518877956</v>
      </c>
      <c r="I19" s="5">
        <f>SUMIFS(Sales_Data!$Q$2:$Q$865,Sales_Data!$B$2:$B$865,2025,Sales_Data!$G$2:$G$865,$B19)</f>
        <v>20847.370000000003</v>
      </c>
      <c r="J19" s="6">
        <f>INDEX(Assumed_scenario!$B$2:$B$6,MATCH($A19,Assumed_scenario!$A$2:$A$6,0))</f>
        <v>0.02</v>
      </c>
      <c r="K19" s="6">
        <f>INDEX(Assumed_scenario!$C$2:$C$6,MATCH($A19,Assumed_scenario!$A$2:$A$6,0))</f>
        <v>0</v>
      </c>
      <c r="L19" s="6">
        <f>INDEX(Assumed_scenario!$D$2:$D$6,MATCH($A19,Assumed_scenario!$A$2:$A$6,0))</f>
        <v>0.08</v>
      </c>
      <c r="M19" s="6">
        <f>INDEX(Assumed_scenario!$E$2:$E$6,MATCH($A19,Assumed_scenario!$A$2:$A$6,0))</f>
        <v>0.02</v>
      </c>
      <c r="N19" s="6">
        <f>INDEX(Assumed_scenario!$F$2:$F$6,MATCH($A19,Assumed_scenario!$A$2:$A$6,0))</f>
        <v>-0.05</v>
      </c>
      <c r="O19" s="5">
        <f t="shared" si="0"/>
        <v>48544.86</v>
      </c>
      <c r="P19" s="28">
        <f t="shared" si="1"/>
        <v>11.727350030466665</v>
      </c>
      <c r="Q19" s="28">
        <f t="shared" si="2"/>
        <v>6.5940486626184525</v>
      </c>
      <c r="R19" s="6">
        <f t="shared" si="3"/>
        <v>0.12439854518877956</v>
      </c>
      <c r="S19" s="5">
        <f t="shared" si="4"/>
        <v>569302.56539999996</v>
      </c>
      <c r="T19" s="5">
        <f t="shared" si="5"/>
        <v>498482.15449199994</v>
      </c>
      <c r="U19" s="5">
        <f t="shared" si="6"/>
        <v>320107.16915999999</v>
      </c>
      <c r="V19" s="5">
        <f t="shared" si="7"/>
        <v>178374.98533199995</v>
      </c>
      <c r="W19" s="6">
        <f t="shared" si="8"/>
        <v>0.3578362509562269</v>
      </c>
      <c r="X19" s="5">
        <f t="shared" si="9"/>
        <v>19805.001500000002</v>
      </c>
    </row>
    <row r="20" spans="1:24" ht="15" customHeight="1" x14ac:dyDescent="0.3">
      <c r="A20" s="4" t="s">
        <v>126</v>
      </c>
      <c r="B20" s="4" t="s">
        <v>36</v>
      </c>
      <c r="C20" s="4" t="str">
        <f>INDEX(Master_Data!$B$2:$B$7,MATCH($B20,Master_Data!$A$2:$A$7,0))</f>
        <v>Office Software Bundle</v>
      </c>
      <c r="D20" s="4" t="str">
        <f>INDEX(Master_Data!$F$2:$F$7,MATCH($B20,Master_Data!$A$2:$A$7,0))</f>
        <v>Growth</v>
      </c>
      <c r="E20" s="5">
        <f>SUMIFS(Sales_Data!$H$2:$H$865,Sales_Data!$B$2:$B$865,2025,Sales_Data!$G$2:$G$865,$B20)</f>
        <v>15105</v>
      </c>
      <c r="F20" s="28">
        <f>IFERROR(SUMIFS(Sales_Data!$K$2:$K$865,Sales_Data!$B$2:$B$865,2025,Sales_Data!$G$2:$G$865,$B20)/E20,0)</f>
        <v>71.210546176762676</v>
      </c>
      <c r="G20" s="28">
        <f>IFERROR(SUMIFS(Sales_Data!$N$2:$N$865,Sales_Data!$B$2:$B$865,2025,Sales_Data!$G$2:$G$865,$B20)/E20,0)</f>
        <v>15.701255213505462</v>
      </c>
      <c r="H20" s="6">
        <f>IFERROR(1-SUMIFS(Sales_Data!$L$2:$L$865,Sales_Data!$B$2:$B$865,2025,Sales_Data!$G$2:$G$865,$B20)/SUMIFS(Sales_Data!$K$2:$K$865,Sales_Data!$B$2:$B$865,2025,Sales_Data!$G$2:$G$865,$B20),0)</f>
        <v>8.9309229624576547E-2</v>
      </c>
      <c r="I20" s="5">
        <f>SUMIFS(Sales_Data!$Q$2:$Q$865,Sales_Data!$B$2:$B$865,2025,Sales_Data!$G$2:$G$865,$B20)</f>
        <v>28662.930000000008</v>
      </c>
      <c r="J20" s="6">
        <f>INDEX(Assumed_scenario!$B$2:$B$6,MATCH($A20,Assumed_scenario!$A$2:$A$6,0))</f>
        <v>0.02</v>
      </c>
      <c r="K20" s="6">
        <f>INDEX(Assumed_scenario!$C$2:$C$6,MATCH($A20,Assumed_scenario!$A$2:$A$6,0))</f>
        <v>0</v>
      </c>
      <c r="L20" s="6">
        <f>INDEX(Assumed_scenario!$D$2:$D$6,MATCH($A20,Assumed_scenario!$A$2:$A$6,0))</f>
        <v>0.08</v>
      </c>
      <c r="M20" s="6">
        <f>INDEX(Assumed_scenario!$E$2:$E$6,MATCH($A20,Assumed_scenario!$A$2:$A$6,0))</f>
        <v>0.02</v>
      </c>
      <c r="N20" s="6">
        <f>INDEX(Assumed_scenario!$F$2:$F$6,MATCH($A20,Assumed_scenario!$A$2:$A$6,0))</f>
        <v>-0.05</v>
      </c>
      <c r="O20" s="5">
        <f t="shared" si="0"/>
        <v>15407.1</v>
      </c>
      <c r="P20" s="28">
        <f t="shared" si="1"/>
        <v>71.210546176762676</v>
      </c>
      <c r="Q20" s="28">
        <f t="shared" si="2"/>
        <v>16.957355630585901</v>
      </c>
      <c r="R20" s="6">
        <f t="shared" si="3"/>
        <v>0.10930922962457655</v>
      </c>
      <c r="S20" s="5">
        <f t="shared" si="4"/>
        <v>1097148.0060000003</v>
      </c>
      <c r="T20" s="5">
        <f t="shared" si="5"/>
        <v>977219.60267999989</v>
      </c>
      <c r="U20" s="5">
        <f t="shared" si="6"/>
        <v>261263.67393600004</v>
      </c>
      <c r="V20" s="5">
        <f t="shared" si="7"/>
        <v>715955.92874399992</v>
      </c>
      <c r="W20" s="6">
        <f t="shared" si="8"/>
        <v>0.73264589328796614</v>
      </c>
      <c r="X20" s="5">
        <f t="shared" si="9"/>
        <v>27229.783500000005</v>
      </c>
    </row>
    <row r="21" spans="1:24" ht="15" customHeight="1" x14ac:dyDescent="0.3">
      <c r="A21" s="4" t="s">
        <v>126</v>
      </c>
      <c r="B21" s="4" t="s">
        <v>37</v>
      </c>
      <c r="C21" s="4" t="str">
        <f>INDEX(Master_Data!$B$2:$B$7,MATCH($B21,Master_Data!$A$2:$A$7,0))</f>
        <v>Extended Warranty 2Y</v>
      </c>
      <c r="D21" s="4" t="str">
        <f>INDEX(Master_Data!$F$2:$F$7,MATCH($B21,Master_Data!$A$2:$A$7,0))</f>
        <v>Mature</v>
      </c>
      <c r="E21" s="5">
        <f>SUMIFS(Sales_Data!$H$2:$H$865,Sales_Data!$B$2:$B$865,2025,Sales_Data!$G$2:$G$865,$B21)</f>
        <v>10757</v>
      </c>
      <c r="F21" s="28">
        <f>IFERROR(SUMIFS(Sales_Data!$K$2:$K$865,Sales_Data!$B$2:$B$865,2025,Sales_Data!$G$2:$G$865,$B21)/E21,0)</f>
        <v>54.450259365994242</v>
      </c>
      <c r="G21" s="28">
        <f>IFERROR(SUMIFS(Sales_Data!$N$2:$N$865,Sales_Data!$B$2:$B$865,2025,Sales_Data!$G$2:$G$865,$B21)/E21,0)</f>
        <v>7.8466459049921005</v>
      </c>
      <c r="H21" s="6">
        <f>IFERROR(1-SUMIFS(Sales_Data!$L$2:$L$865,Sales_Data!$B$2:$B$865,2025,Sales_Data!$G$2:$G$865,$B21)/SUMIFS(Sales_Data!$K$2:$K$865,Sales_Data!$B$2:$B$865,2025,Sales_Data!$G$2:$G$865,$B21),0)</f>
        <v>6.34100571766677E-2</v>
      </c>
      <c r="I21" s="5">
        <f>SUMIFS(Sales_Data!$Q$2:$Q$865,Sales_Data!$B$2:$B$865,2025,Sales_Data!$G$2:$G$865,$B21)</f>
        <v>19209.869999999995</v>
      </c>
      <c r="J21" s="6">
        <f>INDEX(Assumed_scenario!$B$2:$B$6,MATCH($A21,Assumed_scenario!$A$2:$A$6,0))</f>
        <v>0.02</v>
      </c>
      <c r="K21" s="6">
        <f>INDEX(Assumed_scenario!$C$2:$C$6,MATCH($A21,Assumed_scenario!$A$2:$A$6,0))</f>
        <v>0</v>
      </c>
      <c r="L21" s="6">
        <f>INDEX(Assumed_scenario!$D$2:$D$6,MATCH($A21,Assumed_scenario!$A$2:$A$6,0))</f>
        <v>0.08</v>
      </c>
      <c r="M21" s="6">
        <f>INDEX(Assumed_scenario!$E$2:$E$6,MATCH($A21,Assumed_scenario!$A$2:$A$6,0))</f>
        <v>0.02</v>
      </c>
      <c r="N21" s="6">
        <f>INDEX(Assumed_scenario!$F$2:$F$6,MATCH($A21,Assumed_scenario!$A$2:$A$6,0))</f>
        <v>-0.05</v>
      </c>
      <c r="O21" s="5">
        <f t="shared" si="0"/>
        <v>10972.14</v>
      </c>
      <c r="P21" s="28">
        <f t="shared" si="1"/>
        <v>54.450259365994242</v>
      </c>
      <c r="Q21" s="28">
        <f t="shared" si="2"/>
        <v>8.4743775773914685</v>
      </c>
      <c r="R21" s="6">
        <f t="shared" si="3"/>
        <v>8.3410057176667704E-2</v>
      </c>
      <c r="S21" s="5">
        <f t="shared" si="4"/>
        <v>597435.86880000005</v>
      </c>
      <c r="T21" s="5">
        <f t="shared" si="5"/>
        <v>547603.70882399986</v>
      </c>
      <c r="U21" s="5">
        <f t="shared" si="6"/>
        <v>92982.057192000022</v>
      </c>
      <c r="V21" s="5">
        <f t="shared" si="7"/>
        <v>454621.65163199982</v>
      </c>
      <c r="W21" s="6">
        <f t="shared" si="8"/>
        <v>0.83020192213145783</v>
      </c>
      <c r="X21" s="5">
        <f t="shared" si="9"/>
        <v>18249.376499999995</v>
      </c>
    </row>
    <row r="22" spans="1:24" ht="15" customHeight="1" x14ac:dyDescent="0.3">
      <c r="A22" s="4" t="s">
        <v>127</v>
      </c>
      <c r="B22" s="4" t="s">
        <v>22</v>
      </c>
      <c r="C22" s="4" t="str">
        <f>INDEX(Master_Data!$B$2:$B$7,MATCH($B22,Master_Data!$A$2:$A$7,0))</f>
        <v>AeroBook 13 Laptop</v>
      </c>
      <c r="D22" s="4" t="str">
        <f>INDEX(Master_Data!$F$2:$F$7,MATCH($B22,Master_Data!$A$2:$A$7,0))</f>
        <v>Growth</v>
      </c>
      <c r="E22" s="5">
        <f>SUMIFS(Sales_Data!$H$2:$H$865,Sales_Data!$B$2:$B$865,2025,Sales_Data!$G$2:$G$865,$B22)</f>
        <v>8883</v>
      </c>
      <c r="F22" s="28">
        <f>IFERROR(SUMIFS(Sales_Data!$K$2:$K$865,Sales_Data!$B$2:$B$865,2025,Sales_Data!$G$2:$G$865,$B22)/E22,0)</f>
        <v>519.44021501744908</v>
      </c>
      <c r="G22" s="28">
        <f>IFERROR(SUMIFS(Sales_Data!$N$2:$N$865,Sales_Data!$B$2:$B$865,2025,Sales_Data!$G$2:$G$865,$B22)/E22,0)</f>
        <v>405.52950354609919</v>
      </c>
      <c r="H22" s="6">
        <f>IFERROR(1-SUMIFS(Sales_Data!$L$2:$L$865,Sales_Data!$B$2:$B$865,2025,Sales_Data!$G$2:$G$865,$B22)/SUMIFS(Sales_Data!$K$2:$K$865,Sales_Data!$B$2:$B$865,2025,Sales_Data!$G$2:$G$865,$B22),0)</f>
        <v>9.6453678302357182E-2</v>
      </c>
      <c r="I22" s="5">
        <f>SUMIFS(Sales_Data!$Q$2:$Q$865,Sales_Data!$B$2:$B$865,2025,Sales_Data!$G$2:$G$865,$B22)</f>
        <v>60635.430000000008</v>
      </c>
      <c r="J22" s="6">
        <f>INDEX(Assumed_scenario!$B$2:$B$6,MATCH($A22,Assumed_scenario!$A$2:$A$6,0))</f>
        <v>0.05</v>
      </c>
      <c r="K22" s="6">
        <f>INDEX(Assumed_scenario!$C$2:$C$6,MATCH($A22,Assumed_scenario!$A$2:$A$6,0))</f>
        <v>0.03</v>
      </c>
      <c r="L22" s="6">
        <f>INDEX(Assumed_scenario!$D$2:$D$6,MATCH($A22,Assumed_scenario!$A$2:$A$6,0))</f>
        <v>0.01</v>
      </c>
      <c r="M22" s="6">
        <f>INDEX(Assumed_scenario!$E$2:$E$6,MATCH($A22,Assumed_scenario!$A$2:$A$6,0))</f>
        <v>-0.02</v>
      </c>
      <c r="N22" s="6">
        <f>INDEX(Assumed_scenario!$F$2:$F$6,MATCH($A22,Assumed_scenario!$A$2:$A$6,0))</f>
        <v>0</v>
      </c>
      <c r="O22" s="5">
        <f t="shared" si="0"/>
        <v>9327.15</v>
      </c>
      <c r="P22" s="28">
        <f t="shared" si="1"/>
        <v>535.02342146797253</v>
      </c>
      <c r="Q22" s="28">
        <f t="shared" si="2"/>
        <v>409.58479858156016</v>
      </c>
      <c r="R22" s="6">
        <f t="shared" si="3"/>
        <v>7.6453678302357178E-2</v>
      </c>
      <c r="S22" s="5">
        <f t="shared" si="4"/>
        <v>4990243.7055449998</v>
      </c>
      <c r="T22" s="5">
        <f t="shared" si="5"/>
        <v>4608721.2186308997</v>
      </c>
      <c r="U22" s="5">
        <f t="shared" si="6"/>
        <v>3820258.8540899986</v>
      </c>
      <c r="V22" s="5">
        <f t="shared" si="7"/>
        <v>788462.36454090104</v>
      </c>
      <c r="W22" s="6">
        <f t="shared" si="8"/>
        <v>0.17108050739834671</v>
      </c>
      <c r="X22" s="5">
        <f t="shared" si="9"/>
        <v>60635.430000000008</v>
      </c>
    </row>
    <row r="23" spans="1:24" ht="15" customHeight="1" x14ac:dyDescent="0.3">
      <c r="A23" s="4" t="s">
        <v>127</v>
      </c>
      <c r="B23" s="4" t="s">
        <v>33</v>
      </c>
      <c r="C23" s="4" t="str">
        <f>INDEX(Master_Data!$B$2:$B$7,MATCH($B23,Master_Data!$A$2:$A$7,0))</f>
        <v>ProBook 15 Laptop</v>
      </c>
      <c r="D23" s="4" t="str">
        <f>INDEX(Master_Data!$F$2:$F$7,MATCH($B23,Master_Data!$A$2:$A$7,0))</f>
        <v>Mature</v>
      </c>
      <c r="E23" s="5">
        <f>SUMIFS(Sales_Data!$H$2:$H$865,Sales_Data!$B$2:$B$865,2025,Sales_Data!$G$2:$G$865,$B23)</f>
        <v>5711</v>
      </c>
      <c r="F23" s="28">
        <f>IFERROR(SUMIFS(Sales_Data!$K$2:$K$865,Sales_Data!$B$2:$B$865,2025,Sales_Data!$G$2:$G$865,$B23)/E23,0)</f>
        <v>737.11290842234268</v>
      </c>
      <c r="G23" s="28">
        <f>IFERROR(SUMIFS(Sales_Data!$N$2:$N$865,Sales_Data!$B$2:$B$865,2025,Sales_Data!$G$2:$G$865,$B23)/E23,0)</f>
        <v>601.75935212747345</v>
      </c>
      <c r="H23" s="6">
        <f>IFERROR(1-SUMIFS(Sales_Data!$L$2:$L$865,Sales_Data!$B$2:$B$865,2025,Sales_Data!$G$2:$G$865,$B23)/SUMIFS(Sales_Data!$K$2:$K$865,Sales_Data!$B$2:$B$865,2025,Sales_Data!$G$2:$G$865,$B23),0)</f>
        <v>9.5687189160456598E-2</v>
      </c>
      <c r="I23" s="5">
        <f>SUMIFS(Sales_Data!$Q$2:$Q$865,Sales_Data!$B$2:$B$865,2025,Sales_Data!$G$2:$G$865,$B23)</f>
        <v>60576.499999999993</v>
      </c>
      <c r="J23" s="6">
        <f>INDEX(Assumed_scenario!$B$2:$B$6,MATCH($A23,Assumed_scenario!$A$2:$A$6,0))</f>
        <v>0.05</v>
      </c>
      <c r="K23" s="6">
        <f>INDEX(Assumed_scenario!$C$2:$C$6,MATCH($A23,Assumed_scenario!$A$2:$A$6,0))</f>
        <v>0.03</v>
      </c>
      <c r="L23" s="6">
        <f>INDEX(Assumed_scenario!$D$2:$D$6,MATCH($A23,Assumed_scenario!$A$2:$A$6,0))</f>
        <v>0.01</v>
      </c>
      <c r="M23" s="6">
        <f>INDEX(Assumed_scenario!$E$2:$E$6,MATCH($A23,Assumed_scenario!$A$2:$A$6,0))</f>
        <v>-0.02</v>
      </c>
      <c r="N23" s="6">
        <f>INDEX(Assumed_scenario!$F$2:$F$6,MATCH($A23,Assumed_scenario!$A$2:$A$6,0))</f>
        <v>0</v>
      </c>
      <c r="O23" s="5">
        <f t="shared" si="0"/>
        <v>5996.55</v>
      </c>
      <c r="P23" s="28">
        <f t="shared" si="1"/>
        <v>759.22629567501303</v>
      </c>
      <c r="Q23" s="28">
        <f t="shared" si="2"/>
        <v>607.77694564874821</v>
      </c>
      <c r="R23" s="6">
        <f t="shared" si="3"/>
        <v>7.5687189160456594E-2</v>
      </c>
      <c r="S23" s="5">
        <f t="shared" si="4"/>
        <v>4552738.4433299992</v>
      </c>
      <c r="T23" s="5">
        <f t="shared" si="5"/>
        <v>4208154.4675715985</v>
      </c>
      <c r="U23" s="5">
        <f t="shared" si="6"/>
        <v>3644564.8434300013</v>
      </c>
      <c r="V23" s="5">
        <f t="shared" si="7"/>
        <v>563589.62414159719</v>
      </c>
      <c r="W23" s="6">
        <f t="shared" si="8"/>
        <v>0.13392797923286026</v>
      </c>
      <c r="X23" s="5">
        <f t="shared" si="9"/>
        <v>60576.499999999993</v>
      </c>
    </row>
    <row r="24" spans="1:24" ht="15" customHeight="1" x14ac:dyDescent="0.3">
      <c r="A24" s="4" t="s">
        <v>127</v>
      </c>
      <c r="B24" s="4" t="s">
        <v>34</v>
      </c>
      <c r="C24" s="4" t="str">
        <f>INDEX(Master_Data!$B$2:$B$7,MATCH($B24,Master_Data!$A$2:$A$7,0))</f>
        <v>LiteTab 10 Tablet</v>
      </c>
      <c r="D24" s="4" t="str">
        <f>INDEX(Master_Data!$F$2:$F$7,MATCH($B24,Master_Data!$A$2:$A$7,0))</f>
        <v>Growth</v>
      </c>
      <c r="E24" s="5">
        <f>SUMIFS(Sales_Data!$H$2:$H$865,Sales_Data!$B$2:$B$865,2025,Sales_Data!$G$2:$G$865,$B24)</f>
        <v>13300</v>
      </c>
      <c r="F24" s="28">
        <f>IFERROR(SUMIFS(Sales_Data!$K$2:$K$865,Sales_Data!$B$2:$B$865,2025,Sales_Data!$G$2:$G$865,$B24)/E24,0)</f>
        <v>234.55276390977448</v>
      </c>
      <c r="G24" s="28">
        <f>IFERROR(SUMIFS(Sales_Data!$N$2:$N$865,Sales_Data!$B$2:$B$865,2025,Sales_Data!$G$2:$G$865,$B24)/E24,0)</f>
        <v>165.70185037593987</v>
      </c>
      <c r="H24" s="6">
        <f>IFERROR(1-SUMIFS(Sales_Data!$L$2:$L$865,Sales_Data!$B$2:$B$865,2025,Sales_Data!$G$2:$G$865,$B24)/SUMIFS(Sales_Data!$K$2:$K$865,Sales_Data!$B$2:$B$865,2025,Sales_Data!$G$2:$G$865,$B24),0)</f>
        <v>0.10485974113152718</v>
      </c>
      <c r="I24" s="5">
        <f>SUMIFS(Sales_Data!$Q$2:$Q$865,Sales_Data!$B$2:$B$865,2025,Sales_Data!$G$2:$G$865,$B24)</f>
        <v>43839.35</v>
      </c>
      <c r="J24" s="6">
        <f>INDEX(Assumed_scenario!$B$2:$B$6,MATCH($A24,Assumed_scenario!$A$2:$A$6,0))</f>
        <v>0.05</v>
      </c>
      <c r="K24" s="6">
        <f>INDEX(Assumed_scenario!$C$2:$C$6,MATCH($A24,Assumed_scenario!$A$2:$A$6,0))</f>
        <v>0.03</v>
      </c>
      <c r="L24" s="6">
        <f>INDEX(Assumed_scenario!$D$2:$D$6,MATCH($A24,Assumed_scenario!$A$2:$A$6,0))</f>
        <v>0.01</v>
      </c>
      <c r="M24" s="6">
        <f>INDEX(Assumed_scenario!$E$2:$E$6,MATCH($A24,Assumed_scenario!$A$2:$A$6,0))</f>
        <v>-0.02</v>
      </c>
      <c r="N24" s="6">
        <f>INDEX(Assumed_scenario!$F$2:$F$6,MATCH($A24,Assumed_scenario!$A$2:$A$6,0))</f>
        <v>0</v>
      </c>
      <c r="O24" s="5">
        <f t="shared" si="0"/>
        <v>13965</v>
      </c>
      <c r="P24" s="28">
        <f t="shared" si="1"/>
        <v>241.58934682706771</v>
      </c>
      <c r="Q24" s="28">
        <f t="shared" si="2"/>
        <v>167.35886887969926</v>
      </c>
      <c r="R24" s="6">
        <f t="shared" si="3"/>
        <v>8.485974113152718E-2</v>
      </c>
      <c r="S24" s="5">
        <f t="shared" si="4"/>
        <v>3373795.2284400007</v>
      </c>
      <c r="T24" s="5">
        <f t="shared" si="5"/>
        <v>3087495.8387238006</v>
      </c>
      <c r="U24" s="5">
        <f t="shared" si="6"/>
        <v>2337166.6039050003</v>
      </c>
      <c r="V24" s="5">
        <f t="shared" si="7"/>
        <v>750329.23481880035</v>
      </c>
      <c r="W24" s="6">
        <f t="shared" si="8"/>
        <v>0.24302194205675265</v>
      </c>
      <c r="X24" s="5">
        <f t="shared" si="9"/>
        <v>43839.35</v>
      </c>
    </row>
    <row r="25" spans="1:24" ht="15" customHeight="1" x14ac:dyDescent="0.3">
      <c r="A25" s="4" t="s">
        <v>127</v>
      </c>
      <c r="B25" s="4" t="s">
        <v>35</v>
      </c>
      <c r="C25" s="4" t="str">
        <f>INDEX(Master_Data!$B$2:$B$7,MATCH($B25,Master_Data!$A$2:$A$7,0))</f>
        <v>Wireless Mouse</v>
      </c>
      <c r="D25" s="4" t="str">
        <f>INDEX(Master_Data!$F$2:$F$7,MATCH($B25,Master_Data!$A$2:$A$7,0))</f>
        <v>Mature</v>
      </c>
      <c r="E25" s="5">
        <f>SUMIFS(Sales_Data!$H$2:$H$865,Sales_Data!$B$2:$B$865,2025,Sales_Data!$G$2:$G$865,$B25)</f>
        <v>47593</v>
      </c>
      <c r="F25" s="28">
        <f>IFERROR(SUMIFS(Sales_Data!$K$2:$K$865,Sales_Data!$B$2:$B$865,2025,Sales_Data!$G$2:$G$865,$B25)/E25,0)</f>
        <v>11.727350030466665</v>
      </c>
      <c r="G25" s="28">
        <f>IFERROR(SUMIFS(Sales_Data!$N$2:$N$865,Sales_Data!$B$2:$B$865,2025,Sales_Data!$G$2:$G$865,$B25)/E25,0)</f>
        <v>6.1056006135356036</v>
      </c>
      <c r="H25" s="6">
        <f>IFERROR(1-SUMIFS(Sales_Data!$L$2:$L$865,Sales_Data!$B$2:$B$865,2025,Sales_Data!$G$2:$G$865,$B25)/SUMIFS(Sales_Data!$K$2:$K$865,Sales_Data!$B$2:$B$865,2025,Sales_Data!$G$2:$G$865,$B25),0)</f>
        <v>0.10439854518877956</v>
      </c>
      <c r="I25" s="5">
        <f>SUMIFS(Sales_Data!$Q$2:$Q$865,Sales_Data!$B$2:$B$865,2025,Sales_Data!$G$2:$G$865,$B25)</f>
        <v>20847.370000000003</v>
      </c>
      <c r="J25" s="6">
        <f>INDEX(Assumed_scenario!$B$2:$B$6,MATCH($A25,Assumed_scenario!$A$2:$A$6,0))</f>
        <v>0.05</v>
      </c>
      <c r="K25" s="6">
        <f>INDEX(Assumed_scenario!$C$2:$C$6,MATCH($A25,Assumed_scenario!$A$2:$A$6,0))</f>
        <v>0.03</v>
      </c>
      <c r="L25" s="6">
        <f>INDEX(Assumed_scenario!$D$2:$D$6,MATCH($A25,Assumed_scenario!$A$2:$A$6,0))</f>
        <v>0.01</v>
      </c>
      <c r="M25" s="6">
        <f>INDEX(Assumed_scenario!$E$2:$E$6,MATCH($A25,Assumed_scenario!$A$2:$A$6,0))</f>
        <v>-0.02</v>
      </c>
      <c r="N25" s="6">
        <f>INDEX(Assumed_scenario!$F$2:$F$6,MATCH($A25,Assumed_scenario!$A$2:$A$6,0))</f>
        <v>0</v>
      </c>
      <c r="O25" s="5">
        <f t="shared" si="0"/>
        <v>49972.65</v>
      </c>
      <c r="P25" s="28">
        <f t="shared" si="1"/>
        <v>12.079170531380665</v>
      </c>
      <c r="Q25" s="28">
        <f t="shared" si="2"/>
        <v>6.1666566196709596</v>
      </c>
      <c r="R25" s="6">
        <f t="shared" si="3"/>
        <v>8.4398545188779553E-2</v>
      </c>
      <c r="S25" s="5">
        <f t="shared" si="4"/>
        <v>603628.16125500004</v>
      </c>
      <c r="T25" s="5">
        <f t="shared" si="5"/>
        <v>552682.82261010003</v>
      </c>
      <c r="U25" s="5">
        <f t="shared" si="6"/>
        <v>308164.17292499996</v>
      </c>
      <c r="V25" s="5">
        <f t="shared" si="7"/>
        <v>244518.64968510007</v>
      </c>
      <c r="W25" s="6">
        <f t="shared" si="8"/>
        <v>0.44242129424311805</v>
      </c>
      <c r="X25" s="5">
        <f t="shared" si="9"/>
        <v>20847.370000000003</v>
      </c>
    </row>
    <row r="26" spans="1:24" ht="15" customHeight="1" x14ac:dyDescent="0.3">
      <c r="A26" s="4" t="s">
        <v>127</v>
      </c>
      <c r="B26" s="4" t="s">
        <v>36</v>
      </c>
      <c r="C26" s="4" t="str">
        <f>INDEX(Master_Data!$B$2:$B$7,MATCH($B26,Master_Data!$A$2:$A$7,0))</f>
        <v>Office Software Bundle</v>
      </c>
      <c r="D26" s="4" t="str">
        <f>INDEX(Master_Data!$F$2:$F$7,MATCH($B26,Master_Data!$A$2:$A$7,0))</f>
        <v>Growth</v>
      </c>
      <c r="E26" s="5">
        <f>SUMIFS(Sales_Data!$H$2:$H$865,Sales_Data!$B$2:$B$865,2025,Sales_Data!$G$2:$G$865,$B26)</f>
        <v>15105</v>
      </c>
      <c r="F26" s="28">
        <f>IFERROR(SUMIFS(Sales_Data!$K$2:$K$865,Sales_Data!$B$2:$B$865,2025,Sales_Data!$G$2:$G$865,$B26)/E26,0)</f>
        <v>71.210546176762676</v>
      </c>
      <c r="G26" s="28">
        <f>IFERROR(SUMIFS(Sales_Data!$N$2:$N$865,Sales_Data!$B$2:$B$865,2025,Sales_Data!$G$2:$G$865,$B26)/E26,0)</f>
        <v>15.701255213505462</v>
      </c>
      <c r="H26" s="6">
        <f>IFERROR(1-SUMIFS(Sales_Data!$L$2:$L$865,Sales_Data!$B$2:$B$865,2025,Sales_Data!$G$2:$G$865,$B26)/SUMIFS(Sales_Data!$K$2:$K$865,Sales_Data!$B$2:$B$865,2025,Sales_Data!$G$2:$G$865,$B26),0)</f>
        <v>8.9309229624576547E-2</v>
      </c>
      <c r="I26" s="5">
        <f>SUMIFS(Sales_Data!$Q$2:$Q$865,Sales_Data!$B$2:$B$865,2025,Sales_Data!$G$2:$G$865,$B26)</f>
        <v>28662.930000000008</v>
      </c>
      <c r="J26" s="6">
        <f>INDEX(Assumed_scenario!$B$2:$B$6,MATCH($A26,Assumed_scenario!$A$2:$A$6,0))</f>
        <v>0.05</v>
      </c>
      <c r="K26" s="6">
        <f>INDEX(Assumed_scenario!$C$2:$C$6,MATCH($A26,Assumed_scenario!$A$2:$A$6,0))</f>
        <v>0.03</v>
      </c>
      <c r="L26" s="6">
        <f>INDEX(Assumed_scenario!$D$2:$D$6,MATCH($A26,Assumed_scenario!$A$2:$A$6,0))</f>
        <v>0.01</v>
      </c>
      <c r="M26" s="6">
        <f>INDEX(Assumed_scenario!$E$2:$E$6,MATCH($A26,Assumed_scenario!$A$2:$A$6,0))</f>
        <v>-0.02</v>
      </c>
      <c r="N26" s="6">
        <f>INDEX(Assumed_scenario!$F$2:$F$6,MATCH($A26,Assumed_scenario!$A$2:$A$6,0))</f>
        <v>0</v>
      </c>
      <c r="O26" s="5">
        <f t="shared" si="0"/>
        <v>15860.25</v>
      </c>
      <c r="P26" s="28">
        <f t="shared" si="1"/>
        <v>73.346862562065553</v>
      </c>
      <c r="Q26" s="28">
        <f t="shared" si="2"/>
        <v>15.858267765640516</v>
      </c>
      <c r="R26" s="6">
        <f t="shared" si="3"/>
        <v>6.9309229624576543E-2</v>
      </c>
      <c r="S26" s="5">
        <f t="shared" si="4"/>
        <v>1163299.5769500001</v>
      </c>
      <c r="T26" s="5">
        <f t="shared" si="5"/>
        <v>1082672.1794489999</v>
      </c>
      <c r="U26" s="5">
        <f t="shared" si="6"/>
        <v>251516.09133</v>
      </c>
      <c r="V26" s="5">
        <f t="shared" si="7"/>
        <v>831156.08811899996</v>
      </c>
      <c r="W26" s="6">
        <f t="shared" si="8"/>
        <v>0.76768952218020137</v>
      </c>
      <c r="X26" s="5">
        <f t="shared" si="9"/>
        <v>28662.930000000008</v>
      </c>
    </row>
    <row r="27" spans="1:24" ht="15" customHeight="1" x14ac:dyDescent="0.3">
      <c r="A27" s="4" t="s">
        <v>127</v>
      </c>
      <c r="B27" s="4" t="s">
        <v>37</v>
      </c>
      <c r="C27" s="4" t="str">
        <f>INDEX(Master_Data!$B$2:$B$7,MATCH($B27,Master_Data!$A$2:$A$7,0))</f>
        <v>Extended Warranty 2Y</v>
      </c>
      <c r="D27" s="4" t="str">
        <f>INDEX(Master_Data!$F$2:$F$7,MATCH($B27,Master_Data!$A$2:$A$7,0))</f>
        <v>Mature</v>
      </c>
      <c r="E27" s="5">
        <f>SUMIFS(Sales_Data!$H$2:$H$865,Sales_Data!$B$2:$B$865,2025,Sales_Data!$G$2:$G$865,$B27)</f>
        <v>10757</v>
      </c>
      <c r="F27" s="28">
        <f>IFERROR(SUMIFS(Sales_Data!$K$2:$K$865,Sales_Data!$B$2:$B$865,2025,Sales_Data!$G$2:$G$865,$B27)/E27,0)</f>
        <v>54.450259365994242</v>
      </c>
      <c r="G27" s="28">
        <f>IFERROR(SUMIFS(Sales_Data!$N$2:$N$865,Sales_Data!$B$2:$B$865,2025,Sales_Data!$G$2:$G$865,$B27)/E27,0)</f>
        <v>7.8466459049921005</v>
      </c>
      <c r="H27" s="6">
        <f>IFERROR(1-SUMIFS(Sales_Data!$L$2:$L$865,Sales_Data!$B$2:$B$865,2025,Sales_Data!$G$2:$G$865,$B27)/SUMIFS(Sales_Data!$K$2:$K$865,Sales_Data!$B$2:$B$865,2025,Sales_Data!$G$2:$G$865,$B27),0)</f>
        <v>6.34100571766677E-2</v>
      </c>
      <c r="I27" s="5">
        <f>SUMIFS(Sales_Data!$Q$2:$Q$865,Sales_Data!$B$2:$B$865,2025,Sales_Data!$G$2:$G$865,$B27)</f>
        <v>19209.869999999995</v>
      </c>
      <c r="J27" s="6">
        <f>INDEX(Assumed_scenario!$B$2:$B$6,MATCH($A27,Assumed_scenario!$A$2:$A$6,0))</f>
        <v>0.05</v>
      </c>
      <c r="K27" s="6">
        <f>INDEX(Assumed_scenario!$C$2:$C$6,MATCH($A27,Assumed_scenario!$A$2:$A$6,0))</f>
        <v>0.03</v>
      </c>
      <c r="L27" s="6">
        <f>INDEX(Assumed_scenario!$D$2:$D$6,MATCH($A27,Assumed_scenario!$A$2:$A$6,0))</f>
        <v>0.01</v>
      </c>
      <c r="M27" s="6">
        <f>INDEX(Assumed_scenario!$E$2:$E$6,MATCH($A27,Assumed_scenario!$A$2:$A$6,0))</f>
        <v>-0.02</v>
      </c>
      <c r="N27" s="6">
        <f>INDEX(Assumed_scenario!$F$2:$F$6,MATCH($A27,Assumed_scenario!$A$2:$A$6,0))</f>
        <v>0</v>
      </c>
      <c r="O27" s="5">
        <f t="shared" si="0"/>
        <v>11294.85</v>
      </c>
      <c r="P27" s="28">
        <f t="shared" si="1"/>
        <v>56.083767146974068</v>
      </c>
      <c r="Q27" s="28">
        <f t="shared" si="2"/>
        <v>7.9251123640420218</v>
      </c>
      <c r="R27" s="6">
        <f t="shared" si="3"/>
        <v>4.3410057176667696E-2</v>
      </c>
      <c r="S27" s="5">
        <f t="shared" si="4"/>
        <v>633457.73736000003</v>
      </c>
      <c r="T27" s="5">
        <f t="shared" si="5"/>
        <v>605959.30076219991</v>
      </c>
      <c r="U27" s="5">
        <f t="shared" si="6"/>
        <v>89512.955385000037</v>
      </c>
      <c r="V27" s="5">
        <f t="shared" si="7"/>
        <v>516446.34537719988</v>
      </c>
      <c r="W27" s="6">
        <f t="shared" si="8"/>
        <v>0.85227893148532075</v>
      </c>
      <c r="X27" s="5">
        <f t="shared" si="9"/>
        <v>19209.869999999995</v>
      </c>
    </row>
    <row r="28" spans="1:24" ht="15" customHeight="1" x14ac:dyDescent="0.3">
      <c r="A28" s="4" t="s">
        <v>128</v>
      </c>
      <c r="B28" s="4" t="s">
        <v>22</v>
      </c>
      <c r="C28" s="4" t="str">
        <f>INDEX(Master_Data!$B$2:$B$7,MATCH($B28,Master_Data!$A$2:$A$7,0))</f>
        <v>AeroBook 13 Laptop</v>
      </c>
      <c r="D28" s="4" t="str">
        <f>INDEX(Master_Data!$F$2:$F$7,MATCH($B28,Master_Data!$A$2:$A$7,0))</f>
        <v>Growth</v>
      </c>
      <c r="E28" s="5">
        <f>SUMIFS(Sales_Data!$H$2:$H$865,Sales_Data!$B$2:$B$865,2025,Sales_Data!$G$2:$G$865,$B28)</f>
        <v>8883</v>
      </c>
      <c r="F28" s="28">
        <f>IFERROR(SUMIFS(Sales_Data!$K$2:$K$865,Sales_Data!$B$2:$B$865,2025,Sales_Data!$G$2:$G$865,$B28)/E28,0)</f>
        <v>519.44021501744908</v>
      </c>
      <c r="G28" s="28">
        <f>IFERROR(SUMIFS(Sales_Data!$N$2:$N$865,Sales_Data!$B$2:$B$865,2025,Sales_Data!$G$2:$G$865,$B28)/E28,0)</f>
        <v>405.52950354609919</v>
      </c>
      <c r="H28" s="6">
        <f>IFERROR(1-SUMIFS(Sales_Data!$L$2:$L$865,Sales_Data!$B$2:$B$865,2025,Sales_Data!$G$2:$G$865,$B28)/SUMIFS(Sales_Data!$K$2:$K$865,Sales_Data!$B$2:$B$865,2025,Sales_Data!$G$2:$G$865,$B28),0)</f>
        <v>9.6453678302357182E-2</v>
      </c>
      <c r="I28" s="5">
        <f>SUMIFS(Sales_Data!$Q$2:$Q$865,Sales_Data!$B$2:$B$865,2025,Sales_Data!$G$2:$G$865,$B28)</f>
        <v>60635.430000000008</v>
      </c>
      <c r="J28" s="6">
        <f>INDEX(Assumed_scenario!$B$2:$B$6,MATCH($A28,Assumed_scenario!$A$2:$A$6,0))</f>
        <v>0.18</v>
      </c>
      <c r="K28" s="6">
        <f>INDEX(Assumed_scenario!$C$2:$C$6,MATCH($A28,Assumed_scenario!$A$2:$A$6,0))</f>
        <v>0.01</v>
      </c>
      <c r="L28" s="6">
        <f>INDEX(Assumed_scenario!$D$2:$D$6,MATCH($A28,Assumed_scenario!$A$2:$A$6,0))</f>
        <v>0.05</v>
      </c>
      <c r="M28" s="6">
        <f>INDEX(Assumed_scenario!$E$2:$E$6,MATCH($A28,Assumed_scenario!$A$2:$A$6,0))</f>
        <v>0.03</v>
      </c>
      <c r="N28" s="6">
        <f>INDEX(Assumed_scenario!$F$2:$F$6,MATCH($A28,Assumed_scenario!$A$2:$A$6,0))</f>
        <v>0.2</v>
      </c>
      <c r="O28" s="5">
        <f t="shared" si="0"/>
        <v>10481.939999999999</v>
      </c>
      <c r="P28" s="28">
        <f t="shared" si="1"/>
        <v>524.63461716762356</v>
      </c>
      <c r="Q28" s="28">
        <f t="shared" si="2"/>
        <v>425.80597872340417</v>
      </c>
      <c r="R28" s="6">
        <f t="shared" si="3"/>
        <v>0.12645367830235718</v>
      </c>
      <c r="S28" s="5">
        <f t="shared" si="4"/>
        <v>5499188.5790739991</v>
      </c>
      <c r="T28" s="5">
        <f t="shared" si="5"/>
        <v>4803795.955571779</v>
      </c>
      <c r="U28" s="5">
        <f t="shared" si="6"/>
        <v>4463272.7206199989</v>
      </c>
      <c r="V28" s="5">
        <f t="shared" si="7"/>
        <v>340523.23495178018</v>
      </c>
      <c r="W28" s="6">
        <f t="shared" si="8"/>
        <v>7.0886282036358661E-2</v>
      </c>
      <c r="X28" s="5">
        <f t="shared" si="9"/>
        <v>72762.516000000003</v>
      </c>
    </row>
    <row r="29" spans="1:24" ht="15" customHeight="1" x14ac:dyDescent="0.3">
      <c r="A29" s="4" t="s">
        <v>128</v>
      </c>
      <c r="B29" s="4" t="s">
        <v>33</v>
      </c>
      <c r="C29" s="4" t="str">
        <f>INDEX(Master_Data!$B$2:$B$7,MATCH($B29,Master_Data!$A$2:$A$7,0))</f>
        <v>ProBook 15 Laptop</v>
      </c>
      <c r="D29" s="4" t="str">
        <f>INDEX(Master_Data!$F$2:$F$7,MATCH($B29,Master_Data!$A$2:$A$7,0))</f>
        <v>Mature</v>
      </c>
      <c r="E29" s="5">
        <f>SUMIFS(Sales_Data!$H$2:$H$865,Sales_Data!$B$2:$B$865,2025,Sales_Data!$G$2:$G$865,$B29)</f>
        <v>5711</v>
      </c>
      <c r="F29" s="28">
        <f>IFERROR(SUMIFS(Sales_Data!$K$2:$K$865,Sales_Data!$B$2:$B$865,2025,Sales_Data!$G$2:$G$865,$B29)/E29,0)</f>
        <v>737.11290842234268</v>
      </c>
      <c r="G29" s="28">
        <f>IFERROR(SUMIFS(Sales_Data!$N$2:$N$865,Sales_Data!$B$2:$B$865,2025,Sales_Data!$G$2:$G$865,$B29)/E29,0)</f>
        <v>601.75935212747345</v>
      </c>
      <c r="H29" s="6">
        <f>IFERROR(1-SUMIFS(Sales_Data!$L$2:$L$865,Sales_Data!$B$2:$B$865,2025,Sales_Data!$G$2:$G$865,$B29)/SUMIFS(Sales_Data!$K$2:$K$865,Sales_Data!$B$2:$B$865,2025,Sales_Data!$G$2:$G$865,$B29),0)</f>
        <v>9.5687189160456598E-2</v>
      </c>
      <c r="I29" s="5">
        <f>SUMIFS(Sales_Data!$Q$2:$Q$865,Sales_Data!$B$2:$B$865,2025,Sales_Data!$G$2:$G$865,$B29)</f>
        <v>60576.499999999993</v>
      </c>
      <c r="J29" s="6">
        <f>INDEX(Assumed_scenario!$B$2:$B$6,MATCH($A29,Assumed_scenario!$A$2:$A$6,0))</f>
        <v>0.18</v>
      </c>
      <c r="K29" s="6">
        <f>INDEX(Assumed_scenario!$C$2:$C$6,MATCH($A29,Assumed_scenario!$A$2:$A$6,0))</f>
        <v>0.01</v>
      </c>
      <c r="L29" s="6">
        <f>INDEX(Assumed_scenario!$D$2:$D$6,MATCH($A29,Assumed_scenario!$A$2:$A$6,0))</f>
        <v>0.05</v>
      </c>
      <c r="M29" s="6">
        <f>INDEX(Assumed_scenario!$E$2:$E$6,MATCH($A29,Assumed_scenario!$A$2:$A$6,0))</f>
        <v>0.03</v>
      </c>
      <c r="N29" s="6">
        <f>INDEX(Assumed_scenario!$F$2:$F$6,MATCH($A29,Assumed_scenario!$A$2:$A$6,0))</f>
        <v>0.2</v>
      </c>
      <c r="O29" s="5">
        <f t="shared" si="0"/>
        <v>6738.98</v>
      </c>
      <c r="P29" s="28">
        <f t="shared" si="1"/>
        <v>744.4840375065661</v>
      </c>
      <c r="Q29" s="28">
        <f t="shared" si="2"/>
        <v>631.84731973384714</v>
      </c>
      <c r="R29" s="6">
        <f t="shared" si="3"/>
        <v>0.1256871891604566</v>
      </c>
      <c r="S29" s="5">
        <f t="shared" si="4"/>
        <v>5017063.0390759986</v>
      </c>
      <c r="T29" s="5">
        <f t="shared" si="5"/>
        <v>4386482.487853718</v>
      </c>
      <c r="U29" s="5">
        <f t="shared" si="6"/>
        <v>4258006.4507400012</v>
      </c>
      <c r="V29" s="5">
        <f t="shared" si="7"/>
        <v>128476.03711371683</v>
      </c>
      <c r="W29" s="6">
        <f t="shared" si="8"/>
        <v>2.9289080138692049E-2</v>
      </c>
      <c r="X29" s="5">
        <f t="shared" si="9"/>
        <v>72691.799999999988</v>
      </c>
    </row>
    <row r="30" spans="1:24" ht="15" customHeight="1" x14ac:dyDescent="0.3">
      <c r="A30" s="4" t="s">
        <v>128</v>
      </c>
      <c r="B30" s="4" t="s">
        <v>34</v>
      </c>
      <c r="C30" s="4" t="str">
        <f>INDEX(Master_Data!$B$2:$B$7,MATCH($B30,Master_Data!$A$2:$A$7,0))</f>
        <v>LiteTab 10 Tablet</v>
      </c>
      <c r="D30" s="4" t="str">
        <f>INDEX(Master_Data!$F$2:$F$7,MATCH($B30,Master_Data!$A$2:$A$7,0))</f>
        <v>Growth</v>
      </c>
      <c r="E30" s="5">
        <f>SUMIFS(Sales_Data!$H$2:$H$865,Sales_Data!$B$2:$B$865,2025,Sales_Data!$G$2:$G$865,$B30)</f>
        <v>13300</v>
      </c>
      <c r="F30" s="28">
        <f>IFERROR(SUMIFS(Sales_Data!$K$2:$K$865,Sales_Data!$B$2:$B$865,2025,Sales_Data!$G$2:$G$865,$B30)/E30,0)</f>
        <v>234.55276390977448</v>
      </c>
      <c r="G30" s="28">
        <f>IFERROR(SUMIFS(Sales_Data!$N$2:$N$865,Sales_Data!$B$2:$B$865,2025,Sales_Data!$G$2:$G$865,$B30)/E30,0)</f>
        <v>165.70185037593987</v>
      </c>
      <c r="H30" s="6">
        <f>IFERROR(1-SUMIFS(Sales_Data!$L$2:$L$865,Sales_Data!$B$2:$B$865,2025,Sales_Data!$G$2:$G$865,$B30)/SUMIFS(Sales_Data!$K$2:$K$865,Sales_Data!$B$2:$B$865,2025,Sales_Data!$G$2:$G$865,$B30),0)</f>
        <v>0.10485974113152718</v>
      </c>
      <c r="I30" s="5">
        <f>SUMIFS(Sales_Data!$Q$2:$Q$865,Sales_Data!$B$2:$B$865,2025,Sales_Data!$G$2:$G$865,$B30)</f>
        <v>43839.35</v>
      </c>
      <c r="J30" s="6">
        <f>INDEX(Assumed_scenario!$B$2:$B$6,MATCH($A30,Assumed_scenario!$A$2:$A$6,0))</f>
        <v>0.18</v>
      </c>
      <c r="K30" s="6">
        <f>INDEX(Assumed_scenario!$C$2:$C$6,MATCH($A30,Assumed_scenario!$A$2:$A$6,0))</f>
        <v>0.01</v>
      </c>
      <c r="L30" s="6">
        <f>INDEX(Assumed_scenario!$D$2:$D$6,MATCH($A30,Assumed_scenario!$A$2:$A$6,0))</f>
        <v>0.05</v>
      </c>
      <c r="M30" s="6">
        <f>INDEX(Assumed_scenario!$E$2:$E$6,MATCH($A30,Assumed_scenario!$A$2:$A$6,0))</f>
        <v>0.03</v>
      </c>
      <c r="N30" s="6">
        <f>INDEX(Assumed_scenario!$F$2:$F$6,MATCH($A30,Assumed_scenario!$A$2:$A$6,0))</f>
        <v>0.2</v>
      </c>
      <c r="O30" s="5">
        <f t="shared" si="0"/>
        <v>15694</v>
      </c>
      <c r="P30" s="28">
        <f t="shared" si="1"/>
        <v>236.89829154887224</v>
      </c>
      <c r="Q30" s="28">
        <f t="shared" si="2"/>
        <v>173.98694289473687</v>
      </c>
      <c r="R30" s="6">
        <f t="shared" si="3"/>
        <v>0.13485974113152718</v>
      </c>
      <c r="S30" s="5">
        <f t="shared" si="4"/>
        <v>3717881.7875680011</v>
      </c>
      <c r="T30" s="5">
        <f t="shared" si="5"/>
        <v>3216489.2121389606</v>
      </c>
      <c r="U30" s="5">
        <f t="shared" si="6"/>
        <v>2730551.0817900007</v>
      </c>
      <c r="V30" s="5">
        <f t="shared" si="7"/>
        <v>485938.13034895994</v>
      </c>
      <c r="W30" s="6">
        <f t="shared" si="8"/>
        <v>0.15107718331995021</v>
      </c>
      <c r="X30" s="5">
        <f t="shared" si="9"/>
        <v>52607.219999999994</v>
      </c>
    </row>
    <row r="31" spans="1:24" ht="15" customHeight="1" x14ac:dyDescent="0.3">
      <c r="A31" s="4" t="s">
        <v>128</v>
      </c>
      <c r="B31" s="4" t="s">
        <v>35</v>
      </c>
      <c r="C31" s="4" t="str">
        <f>INDEX(Master_Data!$B$2:$B$7,MATCH($B31,Master_Data!$A$2:$A$7,0))</f>
        <v>Wireless Mouse</v>
      </c>
      <c r="D31" s="4" t="str">
        <f>INDEX(Master_Data!$F$2:$F$7,MATCH($B31,Master_Data!$A$2:$A$7,0))</f>
        <v>Mature</v>
      </c>
      <c r="E31" s="5">
        <f>SUMIFS(Sales_Data!$H$2:$H$865,Sales_Data!$B$2:$B$865,2025,Sales_Data!$G$2:$G$865,$B31)</f>
        <v>47593</v>
      </c>
      <c r="F31" s="28">
        <f>IFERROR(SUMIFS(Sales_Data!$K$2:$K$865,Sales_Data!$B$2:$B$865,2025,Sales_Data!$G$2:$G$865,$B31)/E31,0)</f>
        <v>11.727350030466665</v>
      </c>
      <c r="G31" s="28">
        <f>IFERROR(SUMIFS(Sales_Data!$N$2:$N$865,Sales_Data!$B$2:$B$865,2025,Sales_Data!$G$2:$G$865,$B31)/E31,0)</f>
        <v>6.1056006135356036</v>
      </c>
      <c r="H31" s="6">
        <f>IFERROR(1-SUMIFS(Sales_Data!$L$2:$L$865,Sales_Data!$B$2:$B$865,2025,Sales_Data!$G$2:$G$865,$B31)/SUMIFS(Sales_Data!$K$2:$K$865,Sales_Data!$B$2:$B$865,2025,Sales_Data!$G$2:$G$865,$B31),0)</f>
        <v>0.10439854518877956</v>
      </c>
      <c r="I31" s="5">
        <f>SUMIFS(Sales_Data!$Q$2:$Q$865,Sales_Data!$B$2:$B$865,2025,Sales_Data!$G$2:$G$865,$B31)</f>
        <v>20847.370000000003</v>
      </c>
      <c r="J31" s="6">
        <f>INDEX(Assumed_scenario!$B$2:$B$6,MATCH($A31,Assumed_scenario!$A$2:$A$6,0))</f>
        <v>0.18</v>
      </c>
      <c r="K31" s="6">
        <f>INDEX(Assumed_scenario!$C$2:$C$6,MATCH($A31,Assumed_scenario!$A$2:$A$6,0))</f>
        <v>0.01</v>
      </c>
      <c r="L31" s="6">
        <f>INDEX(Assumed_scenario!$D$2:$D$6,MATCH($A31,Assumed_scenario!$A$2:$A$6,0))</f>
        <v>0.05</v>
      </c>
      <c r="M31" s="6">
        <f>INDEX(Assumed_scenario!$E$2:$E$6,MATCH($A31,Assumed_scenario!$A$2:$A$6,0))</f>
        <v>0.03</v>
      </c>
      <c r="N31" s="6">
        <f>INDEX(Assumed_scenario!$F$2:$F$6,MATCH($A31,Assumed_scenario!$A$2:$A$6,0))</f>
        <v>0.2</v>
      </c>
      <c r="O31" s="5">
        <f t="shared" si="0"/>
        <v>56159.74</v>
      </c>
      <c r="P31" s="28">
        <f t="shared" si="1"/>
        <v>11.844623530771331</v>
      </c>
      <c r="Q31" s="28">
        <f t="shared" si="2"/>
        <v>6.4108806442123845</v>
      </c>
      <c r="R31" s="6">
        <f t="shared" si="3"/>
        <v>0.13439854518877956</v>
      </c>
      <c r="S31" s="5">
        <f t="shared" si="4"/>
        <v>665190.97788599995</v>
      </c>
      <c r="T31" s="5">
        <f t="shared" si="5"/>
        <v>575790.27818541985</v>
      </c>
      <c r="U31" s="5">
        <f t="shared" si="6"/>
        <v>360033.39014999999</v>
      </c>
      <c r="V31" s="5">
        <f t="shared" si="7"/>
        <v>215756.88803541986</v>
      </c>
      <c r="W31" s="6">
        <f t="shared" si="8"/>
        <v>0.37471436425666843</v>
      </c>
      <c r="X31" s="5">
        <f t="shared" si="9"/>
        <v>25016.844000000001</v>
      </c>
    </row>
    <row r="32" spans="1:24" ht="15" customHeight="1" x14ac:dyDescent="0.3">
      <c r="A32" s="4" t="s">
        <v>128</v>
      </c>
      <c r="B32" s="4" t="s">
        <v>36</v>
      </c>
      <c r="C32" s="4" t="str">
        <f>INDEX(Master_Data!$B$2:$B$7,MATCH($B32,Master_Data!$A$2:$A$7,0))</f>
        <v>Office Software Bundle</v>
      </c>
      <c r="D32" s="4" t="str">
        <f>INDEX(Master_Data!$F$2:$F$7,MATCH($B32,Master_Data!$A$2:$A$7,0))</f>
        <v>Growth</v>
      </c>
      <c r="E32" s="5">
        <f>SUMIFS(Sales_Data!$H$2:$H$865,Sales_Data!$B$2:$B$865,2025,Sales_Data!$G$2:$G$865,$B32)</f>
        <v>15105</v>
      </c>
      <c r="F32" s="28">
        <f>IFERROR(SUMIFS(Sales_Data!$K$2:$K$865,Sales_Data!$B$2:$B$865,2025,Sales_Data!$G$2:$G$865,$B32)/E32,0)</f>
        <v>71.210546176762676</v>
      </c>
      <c r="G32" s="28">
        <f>IFERROR(SUMIFS(Sales_Data!$N$2:$N$865,Sales_Data!$B$2:$B$865,2025,Sales_Data!$G$2:$G$865,$B32)/E32,0)</f>
        <v>15.701255213505462</v>
      </c>
      <c r="H32" s="6">
        <f>IFERROR(1-SUMIFS(Sales_Data!$L$2:$L$865,Sales_Data!$B$2:$B$865,2025,Sales_Data!$G$2:$G$865,$B32)/SUMIFS(Sales_Data!$K$2:$K$865,Sales_Data!$B$2:$B$865,2025,Sales_Data!$G$2:$G$865,$B32),0)</f>
        <v>8.9309229624576547E-2</v>
      </c>
      <c r="I32" s="5">
        <f>SUMIFS(Sales_Data!$Q$2:$Q$865,Sales_Data!$B$2:$B$865,2025,Sales_Data!$G$2:$G$865,$B32)</f>
        <v>28662.930000000008</v>
      </c>
      <c r="J32" s="6">
        <f>INDEX(Assumed_scenario!$B$2:$B$6,MATCH($A32,Assumed_scenario!$A$2:$A$6,0))</f>
        <v>0.18</v>
      </c>
      <c r="K32" s="6">
        <f>INDEX(Assumed_scenario!$C$2:$C$6,MATCH($A32,Assumed_scenario!$A$2:$A$6,0))</f>
        <v>0.01</v>
      </c>
      <c r="L32" s="6">
        <f>INDEX(Assumed_scenario!$D$2:$D$6,MATCH($A32,Assumed_scenario!$A$2:$A$6,0))</f>
        <v>0.05</v>
      </c>
      <c r="M32" s="6">
        <f>INDEX(Assumed_scenario!$E$2:$E$6,MATCH($A32,Assumed_scenario!$A$2:$A$6,0))</f>
        <v>0.03</v>
      </c>
      <c r="N32" s="6">
        <f>INDEX(Assumed_scenario!$F$2:$F$6,MATCH($A32,Assumed_scenario!$A$2:$A$6,0))</f>
        <v>0.2</v>
      </c>
      <c r="O32" s="5">
        <f t="shared" si="0"/>
        <v>17823.899999999998</v>
      </c>
      <c r="P32" s="28">
        <f t="shared" si="1"/>
        <v>71.922651638530297</v>
      </c>
      <c r="Q32" s="28">
        <f t="shared" si="2"/>
        <v>16.486317974180736</v>
      </c>
      <c r="R32" s="6">
        <f t="shared" si="3"/>
        <v>0.11930922962457655</v>
      </c>
      <c r="S32" s="5">
        <f t="shared" si="4"/>
        <v>1281942.1505400001</v>
      </c>
      <c r="T32" s="5">
        <f t="shared" si="5"/>
        <v>1128994.6201357997</v>
      </c>
      <c r="U32" s="5">
        <f t="shared" si="6"/>
        <v>293850.48293999996</v>
      </c>
      <c r="V32" s="5">
        <f t="shared" si="7"/>
        <v>835144.13719579973</v>
      </c>
      <c r="W32" s="6">
        <f t="shared" si="8"/>
        <v>0.739723752709597</v>
      </c>
      <c r="X32" s="5">
        <f t="shared" si="9"/>
        <v>34395.516000000011</v>
      </c>
    </row>
    <row r="33" spans="1:24" ht="15" customHeight="1" x14ac:dyDescent="0.3">
      <c r="A33" s="4" t="s">
        <v>128</v>
      </c>
      <c r="B33" s="4" t="s">
        <v>37</v>
      </c>
      <c r="C33" s="4" t="str">
        <f>INDEX(Master_Data!$B$2:$B$7,MATCH($B33,Master_Data!$A$2:$A$7,0))</f>
        <v>Extended Warranty 2Y</v>
      </c>
      <c r="D33" s="4" t="str">
        <f>INDEX(Master_Data!$F$2:$F$7,MATCH($B33,Master_Data!$A$2:$A$7,0))</f>
        <v>Mature</v>
      </c>
      <c r="E33" s="5">
        <f>SUMIFS(Sales_Data!$H$2:$H$865,Sales_Data!$B$2:$B$865,2025,Sales_Data!$G$2:$G$865,$B33)</f>
        <v>10757</v>
      </c>
      <c r="F33" s="28">
        <f>IFERROR(SUMIFS(Sales_Data!$K$2:$K$865,Sales_Data!$B$2:$B$865,2025,Sales_Data!$G$2:$G$865,$B33)/E33,0)</f>
        <v>54.450259365994242</v>
      </c>
      <c r="G33" s="28">
        <f>IFERROR(SUMIFS(Sales_Data!$N$2:$N$865,Sales_Data!$B$2:$B$865,2025,Sales_Data!$G$2:$G$865,$B33)/E33,0)</f>
        <v>7.8466459049921005</v>
      </c>
      <c r="H33" s="6">
        <f>IFERROR(1-SUMIFS(Sales_Data!$L$2:$L$865,Sales_Data!$B$2:$B$865,2025,Sales_Data!$G$2:$G$865,$B33)/SUMIFS(Sales_Data!$K$2:$K$865,Sales_Data!$B$2:$B$865,2025,Sales_Data!$G$2:$G$865,$B33),0)</f>
        <v>6.34100571766677E-2</v>
      </c>
      <c r="I33" s="5">
        <f>SUMIFS(Sales_Data!$Q$2:$Q$865,Sales_Data!$B$2:$B$865,2025,Sales_Data!$G$2:$G$865,$B33)</f>
        <v>19209.869999999995</v>
      </c>
      <c r="J33" s="6">
        <f>INDEX(Assumed_scenario!$B$2:$B$6,MATCH($A33,Assumed_scenario!$A$2:$A$6,0))</f>
        <v>0.18</v>
      </c>
      <c r="K33" s="6">
        <f>INDEX(Assumed_scenario!$C$2:$C$6,MATCH($A33,Assumed_scenario!$A$2:$A$6,0))</f>
        <v>0.01</v>
      </c>
      <c r="L33" s="6">
        <f>INDEX(Assumed_scenario!$D$2:$D$6,MATCH($A33,Assumed_scenario!$A$2:$A$6,0))</f>
        <v>0.05</v>
      </c>
      <c r="M33" s="6">
        <f>INDEX(Assumed_scenario!$E$2:$E$6,MATCH($A33,Assumed_scenario!$A$2:$A$6,0))</f>
        <v>0.03</v>
      </c>
      <c r="N33" s="6">
        <f>INDEX(Assumed_scenario!$F$2:$F$6,MATCH($A33,Assumed_scenario!$A$2:$A$6,0))</f>
        <v>0.2</v>
      </c>
      <c r="O33" s="5">
        <f t="shared" si="0"/>
        <v>12693.26</v>
      </c>
      <c r="P33" s="28">
        <f t="shared" si="1"/>
        <v>54.994761959654184</v>
      </c>
      <c r="Q33" s="28">
        <f t="shared" si="2"/>
        <v>8.2389782002417054</v>
      </c>
      <c r="R33" s="6">
        <f t="shared" si="3"/>
        <v>9.3410057176667699E-2</v>
      </c>
      <c r="S33" s="5">
        <f t="shared" si="4"/>
        <v>698062.8121920001</v>
      </c>
      <c r="T33" s="5">
        <f t="shared" si="5"/>
        <v>632856.72499223985</v>
      </c>
      <c r="U33" s="5">
        <f t="shared" si="6"/>
        <v>104579.49243000003</v>
      </c>
      <c r="V33" s="5">
        <f t="shared" si="7"/>
        <v>528277.23256223986</v>
      </c>
      <c r="W33" s="6">
        <f t="shared" si="8"/>
        <v>0.83475012858355524</v>
      </c>
      <c r="X33" s="5">
        <f t="shared" si="9"/>
        <v>23051.843999999994</v>
      </c>
    </row>
    <row r="35" spans="1:24" ht="15" customHeight="1" x14ac:dyDescent="0.3">
      <c r="A35" s="2" t="s">
        <v>153</v>
      </c>
    </row>
    <row r="36" spans="1:24" ht="26.25" customHeight="1" x14ac:dyDescent="0.3">
      <c r="A36" s="11" t="s">
        <v>75</v>
      </c>
      <c r="B36" s="11" t="s">
        <v>146</v>
      </c>
      <c r="C36" s="11" t="s">
        <v>150</v>
      </c>
      <c r="D36" s="11" t="s">
        <v>76</v>
      </c>
      <c r="E36" s="11" t="s">
        <v>151</v>
      </c>
      <c r="F36" s="11" t="s">
        <v>77</v>
      </c>
      <c r="G36" s="11" t="s">
        <v>78</v>
      </c>
      <c r="H36" s="11" t="s">
        <v>152</v>
      </c>
    </row>
    <row r="37" spans="1:24" ht="15" customHeight="1" x14ac:dyDescent="0.3">
      <c r="A37" s="4" t="s">
        <v>66</v>
      </c>
      <c r="B37" s="5">
        <f>SUMIFS($O$4:$O$33,$A$4:$A$33,$A37)</f>
        <v>109456.92000000001</v>
      </c>
      <c r="C37" s="5">
        <f>SUMIFS($S$4:$S$33,$A$4:$A$33,$A37)</f>
        <v>15601836.892032003</v>
      </c>
      <c r="D37" s="5">
        <f>SUMIFS($T$4:$T$33,$A$4:$A$33,$A37)</f>
        <v>14096550.879216</v>
      </c>
      <c r="E37" s="5">
        <f>SUMIFS($U$4:$U$33,$A$4:$A$33,$A37)</f>
        <v>11069089.420896003</v>
      </c>
      <c r="F37" s="5">
        <f>SUMIFS($V$4:$V$33,$A$4:$A$33,$A37)</f>
        <v>3027461.4583199983</v>
      </c>
      <c r="G37" s="6">
        <f>IF(D37=0,0,F37/D37)</f>
        <v>0.21476611436799745</v>
      </c>
      <c r="H37" s="5">
        <f>SUMIFS($X$4:$X$33,$A$4:$A$33,$A37)</f>
        <v>245460.02250000005</v>
      </c>
    </row>
    <row r="38" spans="1:24" ht="15" customHeight="1" x14ac:dyDescent="0.3">
      <c r="A38" s="4" t="s">
        <v>125</v>
      </c>
      <c r="B38" s="5">
        <f>SUMIFS($O$4:$O$33,$A$4:$A$33,$A38)</f>
        <v>115537.86</v>
      </c>
      <c r="C38" s="5">
        <f>SUMIFS($S$4:$S$33,$A$4:$A$33,$A38)</f>
        <v>16791519.443712004</v>
      </c>
      <c r="D38" s="5">
        <f>SUMIFS($T$4:$T$33,$A$4:$A$33,$A38)</f>
        <v>15339366.467493121</v>
      </c>
      <c r="E38" s="5">
        <f>SUMIFS($U$4:$U$33,$A$4:$A$33,$A38)</f>
        <v>11459345.778684001</v>
      </c>
      <c r="F38" s="5">
        <f>SUMIFS($V$4:$V$33,$A$4:$A$33,$A38)</f>
        <v>3880020.6888091187</v>
      </c>
      <c r="G38" s="6">
        <f>IF(D38=0,0,F38/D38)</f>
        <v>0.25294530233902301</v>
      </c>
      <c r="H38" s="5">
        <f>SUMIFS($X$4:$X$33,$A$4:$A$33,$A38)</f>
        <v>257148.595</v>
      </c>
    </row>
    <row r="39" spans="1:24" ht="15" customHeight="1" x14ac:dyDescent="0.3">
      <c r="A39" s="4" t="s">
        <v>126</v>
      </c>
      <c r="B39" s="5">
        <f>SUMIFS($O$4:$O$33,$A$4:$A$33,$A39)</f>
        <v>103375.98000000001</v>
      </c>
      <c r="C39" s="5">
        <f>SUMIFS($S$4:$S$33,$A$4:$A$33,$A39)</f>
        <v>14446145.270400003</v>
      </c>
      <c r="D39" s="5">
        <f>SUMIFS($T$4:$T$33,$A$4:$A$33,$A39)</f>
        <v>12763439.019791998</v>
      </c>
      <c r="E39" s="5">
        <f>SUMIFS($U$4:$U$33,$A$4:$A$33,$A39)</f>
        <v>10856222.316647999</v>
      </c>
      <c r="F39" s="5">
        <f>SUMIFS($V$4:$V$33,$A$4:$A$33,$A39)</f>
        <v>1907216.7031439985</v>
      </c>
      <c r="G39" s="6">
        <f>IF(D39=0,0,F39/D39)</f>
        <v>0.1494281204451651</v>
      </c>
      <c r="H39" s="5">
        <f>SUMIFS($X$4:$X$33,$A$4:$A$33,$A39)</f>
        <v>222082.87749999997</v>
      </c>
    </row>
    <row r="40" spans="1:24" ht="15" customHeight="1" x14ac:dyDescent="0.3">
      <c r="A40" s="4" t="s">
        <v>127</v>
      </c>
      <c r="B40" s="5">
        <f>SUMIFS($O$4:$O$33,$A$4:$A$33,$A40)</f>
        <v>106416.45000000001</v>
      </c>
      <c r="C40" s="5">
        <f>SUMIFS($S$4:$S$33,$A$4:$A$33,$A40)</f>
        <v>15317162.852880001</v>
      </c>
      <c r="D40" s="5">
        <f>SUMIFS($T$4:$T$33,$A$4:$A$33,$A40)</f>
        <v>14145685.8277476</v>
      </c>
      <c r="E40" s="5">
        <f>SUMIFS($U$4:$U$33,$A$4:$A$33,$A40)</f>
        <v>10451183.521064999</v>
      </c>
      <c r="F40" s="5">
        <f>SUMIFS($V$4:$V$33,$A$4:$A$33,$A40)</f>
        <v>3694502.3066825983</v>
      </c>
      <c r="G40" s="6">
        <f>IF(D40=0,0,F40/D40)</f>
        <v>0.26117519869101102</v>
      </c>
      <c r="H40" s="5">
        <f>SUMIFS($X$4:$X$33,$A$4:$A$33,$A40)</f>
        <v>233771.45</v>
      </c>
    </row>
    <row r="41" spans="1:24" ht="15" customHeight="1" x14ac:dyDescent="0.3">
      <c r="A41" s="4" t="s">
        <v>128</v>
      </c>
      <c r="B41" s="5">
        <f>SUMIFS($O$4:$O$33,$A$4:$A$33,$A41)</f>
        <v>119591.81999999999</v>
      </c>
      <c r="C41" s="5">
        <f>SUMIFS($S$4:$S$33,$A$4:$A$33,$A41)</f>
        <v>16879329.346336</v>
      </c>
      <c r="D41" s="5">
        <f>SUMIFS($T$4:$T$33,$A$4:$A$33,$A41)</f>
        <v>14744409.278877916</v>
      </c>
      <c r="E41" s="5">
        <f>SUMIFS($U$4:$U$33,$A$4:$A$33,$A41)</f>
        <v>12210293.61867</v>
      </c>
      <c r="F41" s="5">
        <f>SUMIFS($V$4:$V$33,$A$4:$A$33,$A41)</f>
        <v>2534115.6602079165</v>
      </c>
      <c r="G41" s="6">
        <f>IF(D41=0,0,F41/D41)</f>
        <v>0.1718695956058518</v>
      </c>
      <c r="H41" s="5">
        <f>SUMIFS($X$4:$X$33,$A$4:$A$33,$A41)</f>
        <v>280525.74</v>
      </c>
    </row>
  </sheetData>
  <mergeCells count="1">
    <mergeCell ref="A1:U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65"/>
  <sheetViews>
    <sheetView zoomScaleNormal="100" workbookViewId="0">
      <selection activeCell="K12" sqref="K12"/>
    </sheetView>
  </sheetViews>
  <sheetFormatPr defaultColWidth="8.6640625" defaultRowHeight="14.4" x14ac:dyDescent="0.3"/>
  <cols>
    <col min="1" max="1" width="13" customWidth="1"/>
    <col min="2" max="3" width="9" customWidth="1"/>
    <col min="4" max="4" width="12" customWidth="1"/>
    <col min="5" max="5" width="15" customWidth="1"/>
    <col min="6" max="6" width="18" customWidth="1"/>
    <col min="7" max="7" width="15" customWidth="1"/>
    <col min="8" max="8" width="12" customWidth="1"/>
    <col min="9" max="9" width="18" customWidth="1"/>
    <col min="10" max="10" width="12" customWidth="1"/>
    <col min="11" max="12" width="16" customWidth="1"/>
    <col min="13" max="13" width="14" customWidth="1"/>
    <col min="14" max="16" width="15" customWidth="1"/>
    <col min="17" max="17" width="17" customWidth="1"/>
    <col min="18" max="18" width="13.44140625" customWidth="1"/>
  </cols>
  <sheetData>
    <row r="1" spans="1:18" ht="27.75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</row>
    <row r="2" spans="1:18" ht="14.25" customHeight="1" x14ac:dyDescent="0.3">
      <c r="A2" s="14">
        <v>44927</v>
      </c>
      <c r="B2" s="15">
        <v>2023</v>
      </c>
      <c r="C2" s="15" t="s">
        <v>18</v>
      </c>
      <c r="D2" s="15" t="s">
        <v>19</v>
      </c>
      <c r="E2" s="15" t="s">
        <v>20</v>
      </c>
      <c r="F2" s="15" t="s">
        <v>21</v>
      </c>
      <c r="G2" s="15" t="s">
        <v>22</v>
      </c>
      <c r="H2" s="16">
        <v>114</v>
      </c>
      <c r="I2" s="17">
        <v>490.44</v>
      </c>
      <c r="J2" s="18">
        <v>8.5000000000000006E-2</v>
      </c>
      <c r="K2" s="17">
        <v>55909.65</v>
      </c>
      <c r="L2" s="17">
        <v>51157.33</v>
      </c>
      <c r="M2" s="17">
        <v>369.68</v>
      </c>
      <c r="N2" s="17">
        <v>42142.95</v>
      </c>
      <c r="O2" s="17">
        <v>9014.3799999999992</v>
      </c>
      <c r="P2" s="18">
        <v>0.1762</v>
      </c>
      <c r="Q2" s="17">
        <v>1035.57</v>
      </c>
      <c r="R2" s="15" t="s">
        <v>23</v>
      </c>
    </row>
    <row r="3" spans="1:18" ht="14.25" customHeight="1" x14ac:dyDescent="0.3">
      <c r="A3" s="14">
        <v>44927</v>
      </c>
      <c r="B3" s="15">
        <v>2023</v>
      </c>
      <c r="C3" s="15" t="s">
        <v>18</v>
      </c>
      <c r="D3" s="15" t="s">
        <v>24</v>
      </c>
      <c r="E3" s="15" t="s">
        <v>25</v>
      </c>
      <c r="F3" s="15" t="s">
        <v>26</v>
      </c>
      <c r="G3" s="15" t="s">
        <v>22</v>
      </c>
      <c r="H3" s="16">
        <v>98</v>
      </c>
      <c r="I3" s="17">
        <v>495.36</v>
      </c>
      <c r="J3" s="18">
        <v>5.5E-2</v>
      </c>
      <c r="K3" s="17">
        <v>48545.72</v>
      </c>
      <c r="L3" s="17">
        <v>45875.71</v>
      </c>
      <c r="M3" s="17">
        <v>369.68</v>
      </c>
      <c r="N3" s="17">
        <v>36228.15</v>
      </c>
      <c r="O3" s="17">
        <v>9647.56</v>
      </c>
      <c r="P3" s="18">
        <v>0.21029999999999999</v>
      </c>
      <c r="Q3" s="17">
        <v>963.43</v>
      </c>
      <c r="R3" s="15" t="s">
        <v>23</v>
      </c>
    </row>
    <row r="4" spans="1:18" ht="14.25" customHeight="1" x14ac:dyDescent="0.3">
      <c r="A4" s="14">
        <v>44927</v>
      </c>
      <c r="B4" s="15">
        <v>2023</v>
      </c>
      <c r="C4" s="15" t="s">
        <v>18</v>
      </c>
      <c r="D4" s="15" t="s">
        <v>27</v>
      </c>
      <c r="E4" s="15" t="s">
        <v>28</v>
      </c>
      <c r="F4" s="15" t="s">
        <v>29</v>
      </c>
      <c r="G4" s="15" t="s">
        <v>22</v>
      </c>
      <c r="H4" s="16">
        <v>79</v>
      </c>
      <c r="I4" s="17">
        <v>500.29</v>
      </c>
      <c r="J4" s="18">
        <v>0.04</v>
      </c>
      <c r="K4" s="17">
        <v>39523.19</v>
      </c>
      <c r="L4" s="17">
        <v>37942.26</v>
      </c>
      <c r="M4" s="17">
        <v>369.68</v>
      </c>
      <c r="N4" s="17">
        <v>29204.33</v>
      </c>
      <c r="O4" s="17">
        <v>8737.93</v>
      </c>
      <c r="P4" s="18">
        <v>0.2303</v>
      </c>
      <c r="Q4" s="17">
        <v>880.75</v>
      </c>
      <c r="R4" s="15" t="s">
        <v>23</v>
      </c>
    </row>
    <row r="5" spans="1:18" ht="14.25" customHeight="1" x14ac:dyDescent="0.3">
      <c r="A5" s="14">
        <v>44927</v>
      </c>
      <c r="B5" s="15">
        <v>2023</v>
      </c>
      <c r="C5" s="15" t="s">
        <v>18</v>
      </c>
      <c r="D5" s="15" t="s">
        <v>30</v>
      </c>
      <c r="E5" s="15" t="s">
        <v>31</v>
      </c>
      <c r="F5" s="15" t="s">
        <v>32</v>
      </c>
      <c r="G5" s="15" t="s">
        <v>22</v>
      </c>
      <c r="H5" s="16">
        <v>101</v>
      </c>
      <c r="I5" s="17">
        <v>485.51</v>
      </c>
      <c r="J5" s="18">
        <v>0.12</v>
      </c>
      <c r="K5" s="17">
        <v>49036.160000000003</v>
      </c>
      <c r="L5" s="17">
        <v>43151.82</v>
      </c>
      <c r="M5" s="17">
        <v>369.68</v>
      </c>
      <c r="N5" s="17">
        <v>37337.18</v>
      </c>
      <c r="O5" s="17">
        <v>5814.65</v>
      </c>
      <c r="P5" s="18">
        <v>0.13469999999999999</v>
      </c>
      <c r="Q5" s="17">
        <v>582.19000000000005</v>
      </c>
      <c r="R5" s="15" t="s">
        <v>23</v>
      </c>
    </row>
    <row r="6" spans="1:18" ht="14.25" customHeight="1" x14ac:dyDescent="0.3">
      <c r="A6" s="14">
        <v>44927</v>
      </c>
      <c r="B6" s="15">
        <v>2023</v>
      </c>
      <c r="C6" s="15" t="s">
        <v>18</v>
      </c>
      <c r="D6" s="15" t="s">
        <v>19</v>
      </c>
      <c r="E6" s="15" t="s">
        <v>25</v>
      </c>
      <c r="F6" s="15" t="s">
        <v>26</v>
      </c>
      <c r="G6" s="15" t="s">
        <v>33</v>
      </c>
      <c r="H6" s="16">
        <v>67</v>
      </c>
      <c r="I6" s="17">
        <v>696.1</v>
      </c>
      <c r="J6" s="18">
        <v>5.5E-2</v>
      </c>
      <c r="K6" s="17">
        <v>46638.83</v>
      </c>
      <c r="L6" s="17">
        <v>44073.69</v>
      </c>
      <c r="M6" s="17">
        <v>548.54999999999995</v>
      </c>
      <c r="N6" s="17">
        <v>36752.85</v>
      </c>
      <c r="O6" s="17">
        <v>7320.84</v>
      </c>
      <c r="P6" s="18">
        <v>0.1661</v>
      </c>
      <c r="Q6" s="17">
        <v>877.95</v>
      </c>
      <c r="R6" s="15" t="s">
        <v>23</v>
      </c>
    </row>
    <row r="7" spans="1:18" ht="14.25" customHeight="1" x14ac:dyDescent="0.3">
      <c r="A7" s="14">
        <v>44927</v>
      </c>
      <c r="B7" s="15">
        <v>2023</v>
      </c>
      <c r="C7" s="15" t="s">
        <v>18</v>
      </c>
      <c r="D7" s="15" t="s">
        <v>24</v>
      </c>
      <c r="E7" s="15" t="s">
        <v>28</v>
      </c>
      <c r="F7" s="15" t="s">
        <v>29</v>
      </c>
      <c r="G7" s="15" t="s">
        <v>33</v>
      </c>
      <c r="H7" s="16">
        <v>50</v>
      </c>
      <c r="I7" s="17">
        <v>703.1</v>
      </c>
      <c r="J7" s="18">
        <v>0.04</v>
      </c>
      <c r="K7" s="17">
        <v>35154.9</v>
      </c>
      <c r="L7" s="17">
        <v>33748.699999999997</v>
      </c>
      <c r="M7" s="17">
        <v>548.54999999999995</v>
      </c>
      <c r="N7" s="17">
        <v>27427.5</v>
      </c>
      <c r="O7" s="17">
        <v>6321.2</v>
      </c>
      <c r="P7" s="18">
        <v>0.18729999999999999</v>
      </c>
      <c r="Q7" s="17">
        <v>837.82</v>
      </c>
      <c r="R7" s="15" t="s">
        <v>23</v>
      </c>
    </row>
    <row r="8" spans="1:18" ht="14.25" customHeight="1" x14ac:dyDescent="0.3">
      <c r="A8" s="14">
        <v>44927</v>
      </c>
      <c r="B8" s="15">
        <v>2023</v>
      </c>
      <c r="C8" s="15" t="s">
        <v>18</v>
      </c>
      <c r="D8" s="15" t="s">
        <v>27</v>
      </c>
      <c r="E8" s="15" t="s">
        <v>31</v>
      </c>
      <c r="F8" s="15" t="s">
        <v>32</v>
      </c>
      <c r="G8" s="15" t="s">
        <v>33</v>
      </c>
      <c r="H8" s="16">
        <v>103</v>
      </c>
      <c r="I8" s="17">
        <v>710.09</v>
      </c>
      <c r="J8" s="18">
        <v>0.12</v>
      </c>
      <c r="K8" s="17">
        <v>73139.679999999993</v>
      </c>
      <c r="L8" s="17">
        <v>64362.92</v>
      </c>
      <c r="M8" s="17">
        <v>548.54999999999995</v>
      </c>
      <c r="N8" s="17">
        <v>56500.65</v>
      </c>
      <c r="O8" s="17">
        <v>7862.27</v>
      </c>
      <c r="P8" s="18">
        <v>0.1222</v>
      </c>
      <c r="Q8" s="17">
        <v>747.84</v>
      </c>
      <c r="R8" s="15" t="s">
        <v>23</v>
      </c>
    </row>
    <row r="9" spans="1:18" ht="14.25" customHeight="1" x14ac:dyDescent="0.3">
      <c r="A9" s="14">
        <v>44927</v>
      </c>
      <c r="B9" s="15">
        <v>2023</v>
      </c>
      <c r="C9" s="15" t="s">
        <v>18</v>
      </c>
      <c r="D9" s="15" t="s">
        <v>30</v>
      </c>
      <c r="E9" s="15" t="s">
        <v>20</v>
      </c>
      <c r="F9" s="15" t="s">
        <v>21</v>
      </c>
      <c r="G9" s="15" t="s">
        <v>33</v>
      </c>
      <c r="H9" s="16">
        <v>66</v>
      </c>
      <c r="I9" s="17">
        <v>689.11</v>
      </c>
      <c r="J9" s="18">
        <v>8.5000000000000006E-2</v>
      </c>
      <c r="K9" s="17">
        <v>45481</v>
      </c>
      <c r="L9" s="17">
        <v>41615.11</v>
      </c>
      <c r="M9" s="17">
        <v>548.54999999999995</v>
      </c>
      <c r="N9" s="17">
        <v>36204.300000000003</v>
      </c>
      <c r="O9" s="17">
        <v>5410.81</v>
      </c>
      <c r="P9" s="18">
        <v>0.13</v>
      </c>
      <c r="Q9" s="17">
        <v>950.7</v>
      </c>
      <c r="R9" s="15" t="s">
        <v>23</v>
      </c>
    </row>
    <row r="10" spans="1:18" ht="14.25" customHeight="1" x14ac:dyDescent="0.3">
      <c r="A10" s="14">
        <v>44927</v>
      </c>
      <c r="B10" s="15">
        <v>2023</v>
      </c>
      <c r="C10" s="15" t="s">
        <v>18</v>
      </c>
      <c r="D10" s="15" t="s">
        <v>19</v>
      </c>
      <c r="E10" s="15" t="s">
        <v>31</v>
      </c>
      <c r="F10" s="15" t="s">
        <v>32</v>
      </c>
      <c r="G10" s="15" t="s">
        <v>34</v>
      </c>
      <c r="H10" s="16">
        <v>164</v>
      </c>
      <c r="I10" s="17">
        <v>221.49</v>
      </c>
      <c r="J10" s="18">
        <v>0.12</v>
      </c>
      <c r="K10" s="17">
        <v>36323.870000000003</v>
      </c>
      <c r="L10" s="17">
        <v>31965</v>
      </c>
      <c r="M10" s="17">
        <v>151.05000000000001</v>
      </c>
      <c r="N10" s="17">
        <v>24772.2</v>
      </c>
      <c r="O10" s="17">
        <v>7192.8</v>
      </c>
      <c r="P10" s="18">
        <v>0.22500000000000001</v>
      </c>
      <c r="Q10" s="17">
        <v>484.91</v>
      </c>
      <c r="R10" s="15" t="s">
        <v>23</v>
      </c>
    </row>
    <row r="11" spans="1:18" ht="14.25" customHeight="1" x14ac:dyDescent="0.3">
      <c r="A11" s="14">
        <v>44927</v>
      </c>
      <c r="B11" s="15">
        <v>2023</v>
      </c>
      <c r="C11" s="15" t="s">
        <v>18</v>
      </c>
      <c r="D11" s="15" t="s">
        <v>24</v>
      </c>
      <c r="E11" s="15" t="s">
        <v>20</v>
      </c>
      <c r="F11" s="15" t="s">
        <v>26</v>
      </c>
      <c r="G11" s="15" t="s">
        <v>34</v>
      </c>
      <c r="H11" s="16">
        <v>174</v>
      </c>
      <c r="I11" s="17">
        <v>223.71</v>
      </c>
      <c r="J11" s="18">
        <v>8.5000000000000006E-2</v>
      </c>
      <c r="K11" s="17">
        <v>38926.06</v>
      </c>
      <c r="L11" s="17">
        <v>35617.339999999997</v>
      </c>
      <c r="M11" s="17">
        <v>151.05000000000001</v>
      </c>
      <c r="N11" s="17">
        <v>26282.7</v>
      </c>
      <c r="O11" s="17">
        <v>9334.64</v>
      </c>
      <c r="P11" s="18">
        <v>0.2621</v>
      </c>
      <c r="Q11" s="17">
        <v>785.82</v>
      </c>
      <c r="R11" s="15" t="s">
        <v>23</v>
      </c>
    </row>
    <row r="12" spans="1:18" ht="14.25" customHeight="1" x14ac:dyDescent="0.3">
      <c r="A12" s="14">
        <v>44927</v>
      </c>
      <c r="B12" s="15">
        <v>2023</v>
      </c>
      <c r="C12" s="15" t="s">
        <v>18</v>
      </c>
      <c r="D12" s="15" t="s">
        <v>27</v>
      </c>
      <c r="E12" s="15" t="s">
        <v>25</v>
      </c>
      <c r="F12" s="15" t="s">
        <v>21</v>
      </c>
      <c r="G12" s="15" t="s">
        <v>34</v>
      </c>
      <c r="H12" s="16">
        <v>155</v>
      </c>
      <c r="I12" s="17">
        <v>225.94</v>
      </c>
      <c r="J12" s="18">
        <v>5.5E-2</v>
      </c>
      <c r="K12" s="17">
        <v>35020.550000000003</v>
      </c>
      <c r="L12" s="17">
        <v>33094.42</v>
      </c>
      <c r="M12" s="17">
        <v>151.05000000000001</v>
      </c>
      <c r="N12" s="17">
        <v>23412.75</v>
      </c>
      <c r="O12" s="17">
        <v>9681.67</v>
      </c>
      <c r="P12" s="18">
        <v>0.29249999999999998</v>
      </c>
      <c r="Q12" s="17">
        <v>730.4</v>
      </c>
      <c r="R12" s="15" t="s">
        <v>23</v>
      </c>
    </row>
    <row r="13" spans="1:18" ht="14.25" customHeight="1" x14ac:dyDescent="0.3">
      <c r="A13" s="14">
        <v>44927</v>
      </c>
      <c r="B13" s="15">
        <v>2023</v>
      </c>
      <c r="C13" s="15" t="s">
        <v>18</v>
      </c>
      <c r="D13" s="15" t="s">
        <v>30</v>
      </c>
      <c r="E13" s="15" t="s">
        <v>31</v>
      </c>
      <c r="F13" s="15" t="s">
        <v>32</v>
      </c>
      <c r="G13" s="15" t="s">
        <v>34</v>
      </c>
      <c r="H13" s="16">
        <v>130</v>
      </c>
      <c r="I13" s="17">
        <v>219.26</v>
      </c>
      <c r="J13" s="18">
        <v>0.12</v>
      </c>
      <c r="K13" s="17">
        <v>28503.93</v>
      </c>
      <c r="L13" s="17">
        <v>25083.46</v>
      </c>
      <c r="M13" s="17">
        <v>151.05000000000001</v>
      </c>
      <c r="N13" s="17">
        <v>19636.5</v>
      </c>
      <c r="O13" s="17">
        <v>5446.96</v>
      </c>
      <c r="P13" s="18">
        <v>0.2172</v>
      </c>
      <c r="Q13" s="17">
        <v>412.02</v>
      </c>
      <c r="R13" s="15" t="s">
        <v>23</v>
      </c>
    </row>
    <row r="14" spans="1:18" ht="14.25" customHeight="1" x14ac:dyDescent="0.3">
      <c r="A14" s="14">
        <v>44927</v>
      </c>
      <c r="B14" s="15">
        <v>2023</v>
      </c>
      <c r="C14" s="15" t="s">
        <v>18</v>
      </c>
      <c r="D14" s="15" t="s">
        <v>19</v>
      </c>
      <c r="E14" s="15" t="s">
        <v>20</v>
      </c>
      <c r="F14" s="15" t="s">
        <v>26</v>
      </c>
      <c r="G14" s="15" t="s">
        <v>35</v>
      </c>
      <c r="H14" s="16">
        <v>646</v>
      </c>
      <c r="I14" s="17">
        <v>11.07</v>
      </c>
      <c r="J14" s="18">
        <v>8.5000000000000006E-2</v>
      </c>
      <c r="K14" s="17">
        <v>7154.03</v>
      </c>
      <c r="L14" s="17">
        <v>6545.93</v>
      </c>
      <c r="M14" s="17">
        <v>5.57</v>
      </c>
      <c r="N14" s="17">
        <v>3594.99</v>
      </c>
      <c r="O14" s="17">
        <v>2950.94</v>
      </c>
      <c r="P14" s="18">
        <v>0.45079999999999998</v>
      </c>
      <c r="Q14" s="17">
        <v>354.13</v>
      </c>
      <c r="R14" s="15" t="s">
        <v>23</v>
      </c>
    </row>
    <row r="15" spans="1:18" ht="14.25" customHeight="1" x14ac:dyDescent="0.3">
      <c r="A15" s="14">
        <v>44927</v>
      </c>
      <c r="B15" s="15">
        <v>2023</v>
      </c>
      <c r="C15" s="15" t="s">
        <v>18</v>
      </c>
      <c r="D15" s="15" t="s">
        <v>24</v>
      </c>
      <c r="E15" s="15" t="s">
        <v>25</v>
      </c>
      <c r="F15" s="15" t="s">
        <v>21</v>
      </c>
      <c r="G15" s="15" t="s">
        <v>35</v>
      </c>
      <c r="H15" s="16">
        <v>523</v>
      </c>
      <c r="I15" s="17">
        <v>11.19</v>
      </c>
      <c r="J15" s="18">
        <v>5.5E-2</v>
      </c>
      <c r="K15" s="17">
        <v>5850.09</v>
      </c>
      <c r="L15" s="17">
        <v>5528.34</v>
      </c>
      <c r="M15" s="17">
        <v>5.57</v>
      </c>
      <c r="N15" s="17">
        <v>2910.5</v>
      </c>
      <c r="O15" s="17">
        <v>2617.85</v>
      </c>
      <c r="P15" s="18">
        <v>0.47349999999999998</v>
      </c>
      <c r="Q15" s="17">
        <v>317.82</v>
      </c>
      <c r="R15" s="15" t="s">
        <v>23</v>
      </c>
    </row>
    <row r="16" spans="1:18" ht="14.25" customHeight="1" x14ac:dyDescent="0.3">
      <c r="A16" s="14">
        <v>44927</v>
      </c>
      <c r="B16" s="15">
        <v>2023</v>
      </c>
      <c r="C16" s="15" t="s">
        <v>18</v>
      </c>
      <c r="D16" s="15" t="s">
        <v>27</v>
      </c>
      <c r="E16" s="15" t="s">
        <v>31</v>
      </c>
      <c r="F16" s="15" t="s">
        <v>32</v>
      </c>
      <c r="G16" s="15" t="s">
        <v>35</v>
      </c>
      <c r="H16" s="16">
        <v>841</v>
      </c>
      <c r="I16" s="17">
        <v>11.3</v>
      </c>
      <c r="J16" s="18">
        <v>0.12</v>
      </c>
      <c r="K16" s="17">
        <v>9500.73</v>
      </c>
      <c r="L16" s="17">
        <v>8360.65</v>
      </c>
      <c r="M16" s="17">
        <v>5.57</v>
      </c>
      <c r="N16" s="17">
        <v>4680.16</v>
      </c>
      <c r="O16" s="17">
        <v>3680.48</v>
      </c>
      <c r="P16" s="18">
        <v>0.44019999999999998</v>
      </c>
      <c r="Q16" s="17">
        <v>257.56</v>
      </c>
      <c r="R16" s="15" t="s">
        <v>23</v>
      </c>
    </row>
    <row r="17" spans="1:18" ht="14.25" customHeight="1" x14ac:dyDescent="0.3">
      <c r="A17" s="14">
        <v>44927</v>
      </c>
      <c r="B17" s="15">
        <v>2023</v>
      </c>
      <c r="C17" s="15" t="s">
        <v>18</v>
      </c>
      <c r="D17" s="15" t="s">
        <v>30</v>
      </c>
      <c r="E17" s="15" t="s">
        <v>20</v>
      </c>
      <c r="F17" s="15" t="s">
        <v>21</v>
      </c>
      <c r="G17" s="15" t="s">
        <v>35</v>
      </c>
      <c r="H17" s="16">
        <v>496</v>
      </c>
      <c r="I17" s="17">
        <v>10.96</v>
      </c>
      <c r="J17" s="18">
        <v>8.5000000000000006E-2</v>
      </c>
      <c r="K17" s="17">
        <v>5437.67</v>
      </c>
      <c r="L17" s="17">
        <v>4975.47</v>
      </c>
      <c r="M17" s="17">
        <v>5.57</v>
      </c>
      <c r="N17" s="17">
        <v>2760.24</v>
      </c>
      <c r="O17" s="17">
        <v>2215.23</v>
      </c>
      <c r="P17" s="18">
        <v>0.44519999999999998</v>
      </c>
      <c r="Q17" s="17">
        <v>321.57</v>
      </c>
      <c r="R17" s="15" t="s">
        <v>23</v>
      </c>
    </row>
    <row r="18" spans="1:18" ht="14.25" customHeight="1" x14ac:dyDescent="0.3">
      <c r="A18" s="14">
        <v>44927</v>
      </c>
      <c r="B18" s="15">
        <v>2023</v>
      </c>
      <c r="C18" s="15" t="s">
        <v>18</v>
      </c>
      <c r="D18" s="15" t="s">
        <v>19</v>
      </c>
      <c r="E18" s="15" t="s">
        <v>28</v>
      </c>
      <c r="F18" s="15" t="s">
        <v>29</v>
      </c>
      <c r="G18" s="15" t="s">
        <v>36</v>
      </c>
      <c r="H18" s="16">
        <v>109</v>
      </c>
      <c r="I18" s="17">
        <v>67.239999999999995</v>
      </c>
      <c r="J18" s="18">
        <v>2.5000000000000001E-2</v>
      </c>
      <c r="K18" s="17">
        <v>7329.28</v>
      </c>
      <c r="L18" s="17">
        <v>7146.05</v>
      </c>
      <c r="M18" s="17">
        <v>14.31</v>
      </c>
      <c r="N18" s="17">
        <v>1559.79</v>
      </c>
      <c r="O18" s="17">
        <v>5586.26</v>
      </c>
      <c r="P18" s="18">
        <v>0.78169999999999995</v>
      </c>
      <c r="Q18" s="17">
        <v>387.48</v>
      </c>
      <c r="R18" s="15" t="s">
        <v>23</v>
      </c>
    </row>
    <row r="19" spans="1:18" ht="14.25" customHeight="1" x14ac:dyDescent="0.3">
      <c r="A19" s="14">
        <v>44927</v>
      </c>
      <c r="B19" s="15">
        <v>2023</v>
      </c>
      <c r="C19" s="15" t="s">
        <v>18</v>
      </c>
      <c r="D19" s="15" t="s">
        <v>24</v>
      </c>
      <c r="E19" s="15" t="s">
        <v>31</v>
      </c>
      <c r="F19" s="15" t="s">
        <v>32</v>
      </c>
      <c r="G19" s="15" t="s">
        <v>36</v>
      </c>
      <c r="H19" s="16">
        <v>225</v>
      </c>
      <c r="I19" s="17">
        <v>67.91</v>
      </c>
      <c r="J19" s="18">
        <v>0.105</v>
      </c>
      <c r="K19" s="17">
        <v>15279.5</v>
      </c>
      <c r="L19" s="17">
        <v>13675.15</v>
      </c>
      <c r="M19" s="17">
        <v>14.31</v>
      </c>
      <c r="N19" s="17">
        <v>3219.75</v>
      </c>
      <c r="O19" s="17">
        <v>10455.4</v>
      </c>
      <c r="P19" s="18">
        <v>0.76459999999999995</v>
      </c>
      <c r="Q19" s="17">
        <v>357.27</v>
      </c>
      <c r="R19" s="15" t="s">
        <v>23</v>
      </c>
    </row>
    <row r="20" spans="1:18" ht="14.25" customHeight="1" x14ac:dyDescent="0.3">
      <c r="A20" s="14">
        <v>44927</v>
      </c>
      <c r="B20" s="15">
        <v>2023</v>
      </c>
      <c r="C20" s="15" t="s">
        <v>18</v>
      </c>
      <c r="D20" s="15" t="s">
        <v>27</v>
      </c>
      <c r="E20" s="15" t="s">
        <v>20</v>
      </c>
      <c r="F20" s="15" t="s">
        <v>21</v>
      </c>
      <c r="G20" s="15" t="s">
        <v>36</v>
      </c>
      <c r="H20" s="16">
        <v>233</v>
      </c>
      <c r="I20" s="17">
        <v>68.59</v>
      </c>
      <c r="J20" s="18">
        <v>7.0000000000000007E-2</v>
      </c>
      <c r="K20" s="17">
        <v>15982.08</v>
      </c>
      <c r="L20" s="17">
        <v>14863.33</v>
      </c>
      <c r="M20" s="17">
        <v>14.31</v>
      </c>
      <c r="N20" s="17">
        <v>3334.23</v>
      </c>
      <c r="O20" s="17">
        <v>11529.1</v>
      </c>
      <c r="P20" s="18">
        <v>0.77569999999999995</v>
      </c>
      <c r="Q20" s="17">
        <v>586</v>
      </c>
      <c r="R20" s="15" t="s">
        <v>23</v>
      </c>
    </row>
    <row r="21" spans="1:18" ht="14.25" customHeight="1" x14ac:dyDescent="0.3">
      <c r="A21" s="14">
        <v>44927</v>
      </c>
      <c r="B21" s="15">
        <v>2023</v>
      </c>
      <c r="C21" s="15" t="s">
        <v>18</v>
      </c>
      <c r="D21" s="15" t="s">
        <v>30</v>
      </c>
      <c r="E21" s="15" t="s">
        <v>28</v>
      </c>
      <c r="F21" s="15" t="s">
        <v>32</v>
      </c>
      <c r="G21" s="15" t="s">
        <v>36</v>
      </c>
      <c r="H21" s="16">
        <v>88</v>
      </c>
      <c r="I21" s="17">
        <v>66.56</v>
      </c>
      <c r="J21" s="18">
        <v>2.5000000000000001E-2</v>
      </c>
      <c r="K21" s="17">
        <v>5857.05</v>
      </c>
      <c r="L21" s="17">
        <v>5710.63</v>
      </c>
      <c r="M21" s="17">
        <v>14.31</v>
      </c>
      <c r="N21" s="17">
        <v>1259.28</v>
      </c>
      <c r="O21" s="17">
        <v>4451.3500000000004</v>
      </c>
      <c r="P21" s="18">
        <v>0.77949999999999997</v>
      </c>
      <c r="Q21" s="17">
        <v>330.58</v>
      </c>
      <c r="R21" s="15" t="s">
        <v>23</v>
      </c>
    </row>
    <row r="22" spans="1:18" ht="14.25" customHeight="1" x14ac:dyDescent="0.3">
      <c r="A22" s="14">
        <v>44927</v>
      </c>
      <c r="B22" s="15">
        <v>2023</v>
      </c>
      <c r="C22" s="15" t="s">
        <v>18</v>
      </c>
      <c r="D22" s="15" t="s">
        <v>19</v>
      </c>
      <c r="E22" s="15" t="s">
        <v>28</v>
      </c>
      <c r="F22" s="15" t="s">
        <v>32</v>
      </c>
      <c r="G22" s="15" t="s">
        <v>37</v>
      </c>
      <c r="H22" s="16">
        <v>100</v>
      </c>
      <c r="I22" s="17">
        <v>51.42</v>
      </c>
      <c r="J22" s="18">
        <v>2.5000000000000001E-2</v>
      </c>
      <c r="K22" s="17">
        <v>5142.0600000000004</v>
      </c>
      <c r="L22" s="17">
        <v>5013.51</v>
      </c>
      <c r="M22" s="17">
        <v>7.16</v>
      </c>
      <c r="N22" s="17">
        <v>715.5</v>
      </c>
      <c r="O22" s="17">
        <v>4298.01</v>
      </c>
      <c r="P22" s="18">
        <v>0.85729999999999995</v>
      </c>
      <c r="Q22" s="17">
        <v>221.41</v>
      </c>
      <c r="R22" s="15" t="s">
        <v>23</v>
      </c>
    </row>
    <row r="23" spans="1:18" ht="14.25" customHeight="1" x14ac:dyDescent="0.3">
      <c r="A23" s="14">
        <v>44927</v>
      </c>
      <c r="B23" s="15">
        <v>2023</v>
      </c>
      <c r="C23" s="15" t="s">
        <v>18</v>
      </c>
      <c r="D23" s="15" t="s">
        <v>24</v>
      </c>
      <c r="E23" s="15" t="s">
        <v>20</v>
      </c>
      <c r="F23" s="15" t="s">
        <v>21</v>
      </c>
      <c r="G23" s="15" t="s">
        <v>37</v>
      </c>
      <c r="H23" s="16">
        <v>181</v>
      </c>
      <c r="I23" s="17">
        <v>51.93</v>
      </c>
      <c r="J23" s="18">
        <v>7.0000000000000007E-2</v>
      </c>
      <c r="K23" s="17">
        <v>9399.2199999999993</v>
      </c>
      <c r="L23" s="17">
        <v>8741.2800000000007</v>
      </c>
      <c r="M23" s="17">
        <v>7.16</v>
      </c>
      <c r="N23" s="17">
        <v>1295.06</v>
      </c>
      <c r="O23" s="17">
        <v>7446.22</v>
      </c>
      <c r="P23" s="18">
        <v>0.8518</v>
      </c>
      <c r="Q23" s="17">
        <v>338.67</v>
      </c>
      <c r="R23" s="15" t="s">
        <v>23</v>
      </c>
    </row>
    <row r="24" spans="1:18" ht="14.25" customHeight="1" x14ac:dyDescent="0.3">
      <c r="A24" s="14">
        <v>44927</v>
      </c>
      <c r="B24" s="15">
        <v>2023</v>
      </c>
      <c r="C24" s="15" t="s">
        <v>18</v>
      </c>
      <c r="D24" s="15" t="s">
        <v>27</v>
      </c>
      <c r="E24" s="15" t="s">
        <v>25</v>
      </c>
      <c r="F24" s="15" t="s">
        <v>26</v>
      </c>
      <c r="G24" s="15" t="s">
        <v>37</v>
      </c>
      <c r="H24" s="16">
        <v>158</v>
      </c>
      <c r="I24" s="17">
        <v>52.45</v>
      </c>
      <c r="J24" s="18">
        <v>0.04</v>
      </c>
      <c r="K24" s="17">
        <v>8286.49</v>
      </c>
      <c r="L24" s="17">
        <v>7955.03</v>
      </c>
      <c r="M24" s="17">
        <v>7.16</v>
      </c>
      <c r="N24" s="17">
        <v>1130.49</v>
      </c>
      <c r="O24" s="17">
        <v>6824.54</v>
      </c>
      <c r="P24" s="18">
        <v>0.8579</v>
      </c>
      <c r="Q24" s="17">
        <v>296.26</v>
      </c>
      <c r="R24" s="15" t="s">
        <v>23</v>
      </c>
    </row>
    <row r="25" spans="1:18" ht="14.25" customHeight="1" x14ac:dyDescent="0.3">
      <c r="A25" s="14">
        <v>44927</v>
      </c>
      <c r="B25" s="15">
        <v>2023</v>
      </c>
      <c r="C25" s="15" t="s">
        <v>18</v>
      </c>
      <c r="D25" s="15" t="s">
        <v>30</v>
      </c>
      <c r="E25" s="15" t="s">
        <v>28</v>
      </c>
      <c r="F25" s="15" t="s">
        <v>29</v>
      </c>
      <c r="G25" s="15" t="s">
        <v>37</v>
      </c>
      <c r="H25" s="16">
        <v>73</v>
      </c>
      <c r="I25" s="17">
        <v>50.9</v>
      </c>
      <c r="J25" s="18">
        <v>2.5000000000000001E-2</v>
      </c>
      <c r="K25" s="17">
        <v>3715.4</v>
      </c>
      <c r="L25" s="17">
        <v>3622.51</v>
      </c>
      <c r="M25" s="17">
        <v>7.16</v>
      </c>
      <c r="N25" s="17">
        <v>522.32000000000005</v>
      </c>
      <c r="O25" s="17">
        <v>3100.2</v>
      </c>
      <c r="P25" s="18">
        <v>0.85580000000000001</v>
      </c>
      <c r="Q25" s="17">
        <v>198.59</v>
      </c>
      <c r="R25" s="15" t="s">
        <v>23</v>
      </c>
    </row>
    <row r="26" spans="1:18" ht="14.25" customHeight="1" x14ac:dyDescent="0.3">
      <c r="A26" s="14">
        <v>44958</v>
      </c>
      <c r="B26" s="15">
        <v>2023</v>
      </c>
      <c r="C26" s="15" t="s">
        <v>38</v>
      </c>
      <c r="D26" s="15" t="s">
        <v>19</v>
      </c>
      <c r="E26" s="15" t="s">
        <v>25</v>
      </c>
      <c r="F26" s="15" t="s">
        <v>26</v>
      </c>
      <c r="G26" s="15" t="s">
        <v>22</v>
      </c>
      <c r="H26" s="16">
        <v>96</v>
      </c>
      <c r="I26" s="17">
        <v>490.44</v>
      </c>
      <c r="J26" s="18">
        <v>5.5E-2</v>
      </c>
      <c r="K26" s="17">
        <v>47081.81</v>
      </c>
      <c r="L26" s="17">
        <v>44492.31</v>
      </c>
      <c r="M26" s="17">
        <v>369.68</v>
      </c>
      <c r="N26" s="17">
        <v>35488.800000000003</v>
      </c>
      <c r="O26" s="17">
        <v>9003.51</v>
      </c>
      <c r="P26" s="18">
        <v>0.2024</v>
      </c>
      <c r="Q26" s="17">
        <v>902.4</v>
      </c>
      <c r="R26" s="15" t="s">
        <v>23</v>
      </c>
    </row>
    <row r="27" spans="1:18" ht="14.25" customHeight="1" x14ac:dyDescent="0.3">
      <c r="A27" s="14">
        <v>44958</v>
      </c>
      <c r="B27" s="15">
        <v>2023</v>
      </c>
      <c r="C27" s="15" t="s">
        <v>38</v>
      </c>
      <c r="D27" s="15" t="s">
        <v>24</v>
      </c>
      <c r="E27" s="15" t="s">
        <v>28</v>
      </c>
      <c r="F27" s="15" t="s">
        <v>29</v>
      </c>
      <c r="G27" s="15" t="s">
        <v>22</v>
      </c>
      <c r="H27" s="16">
        <v>71</v>
      </c>
      <c r="I27" s="17">
        <v>495.36</v>
      </c>
      <c r="J27" s="18">
        <v>0.04</v>
      </c>
      <c r="K27" s="17">
        <v>35170.879999999997</v>
      </c>
      <c r="L27" s="17">
        <v>33764.050000000003</v>
      </c>
      <c r="M27" s="17">
        <v>369.68</v>
      </c>
      <c r="N27" s="17">
        <v>26246.93</v>
      </c>
      <c r="O27" s="17">
        <v>7517.12</v>
      </c>
      <c r="P27" s="18">
        <v>0.22259999999999999</v>
      </c>
      <c r="Q27" s="17">
        <v>817.99</v>
      </c>
      <c r="R27" s="15" t="s">
        <v>23</v>
      </c>
    </row>
    <row r="28" spans="1:18" ht="14.25" customHeight="1" x14ac:dyDescent="0.3">
      <c r="A28" s="14">
        <v>44958</v>
      </c>
      <c r="B28" s="15">
        <v>2023</v>
      </c>
      <c r="C28" s="15" t="s">
        <v>38</v>
      </c>
      <c r="D28" s="15" t="s">
        <v>27</v>
      </c>
      <c r="E28" s="15" t="s">
        <v>31</v>
      </c>
      <c r="F28" s="15" t="s">
        <v>32</v>
      </c>
      <c r="G28" s="15" t="s">
        <v>22</v>
      </c>
      <c r="H28" s="16">
        <v>147</v>
      </c>
      <c r="I28" s="17">
        <v>500.29</v>
      </c>
      <c r="J28" s="18">
        <v>0.12</v>
      </c>
      <c r="K28" s="17">
        <v>73543.14</v>
      </c>
      <c r="L28" s="17">
        <v>64717.97</v>
      </c>
      <c r="M28" s="17">
        <v>369.68</v>
      </c>
      <c r="N28" s="17">
        <v>54342.23</v>
      </c>
      <c r="O28" s="17">
        <v>10375.74</v>
      </c>
      <c r="P28" s="18">
        <v>0.1603</v>
      </c>
      <c r="Q28" s="17">
        <v>793.07</v>
      </c>
      <c r="R28" s="15" t="s">
        <v>23</v>
      </c>
    </row>
    <row r="29" spans="1:18" ht="14.25" customHeight="1" x14ac:dyDescent="0.3">
      <c r="A29" s="14">
        <v>44958</v>
      </c>
      <c r="B29" s="15">
        <v>2023</v>
      </c>
      <c r="C29" s="15" t="s">
        <v>38</v>
      </c>
      <c r="D29" s="15" t="s">
        <v>30</v>
      </c>
      <c r="E29" s="15" t="s">
        <v>20</v>
      </c>
      <c r="F29" s="15" t="s">
        <v>21</v>
      </c>
      <c r="G29" s="15" t="s">
        <v>22</v>
      </c>
      <c r="H29" s="16">
        <v>92</v>
      </c>
      <c r="I29" s="17">
        <v>485.51</v>
      </c>
      <c r="J29" s="18">
        <v>8.5000000000000006E-2</v>
      </c>
      <c r="K29" s="17">
        <v>44666.6</v>
      </c>
      <c r="L29" s="17">
        <v>40869.94</v>
      </c>
      <c r="M29" s="17">
        <v>369.68</v>
      </c>
      <c r="N29" s="17">
        <v>34010.1</v>
      </c>
      <c r="O29" s="17">
        <v>6859.84</v>
      </c>
      <c r="P29" s="18">
        <v>0.1678</v>
      </c>
      <c r="Q29" s="17">
        <v>955.57</v>
      </c>
      <c r="R29" s="15" t="s">
        <v>23</v>
      </c>
    </row>
    <row r="30" spans="1:18" ht="14.25" customHeight="1" x14ac:dyDescent="0.3">
      <c r="A30" s="14">
        <v>44958</v>
      </c>
      <c r="B30" s="15">
        <v>2023</v>
      </c>
      <c r="C30" s="15" t="s">
        <v>38</v>
      </c>
      <c r="D30" s="15" t="s">
        <v>19</v>
      </c>
      <c r="E30" s="15" t="s">
        <v>28</v>
      </c>
      <c r="F30" s="15" t="s">
        <v>29</v>
      </c>
      <c r="G30" s="15" t="s">
        <v>33</v>
      </c>
      <c r="H30" s="16">
        <v>47</v>
      </c>
      <c r="I30" s="17">
        <v>696.1</v>
      </c>
      <c r="J30" s="18">
        <v>0.04</v>
      </c>
      <c r="K30" s="17">
        <v>32716.79</v>
      </c>
      <c r="L30" s="17">
        <v>31408.12</v>
      </c>
      <c r="M30" s="17">
        <v>548.54999999999995</v>
      </c>
      <c r="N30" s="17">
        <v>25781.85</v>
      </c>
      <c r="O30" s="17">
        <v>5626.27</v>
      </c>
      <c r="P30" s="18">
        <v>0.17910000000000001</v>
      </c>
      <c r="Q30" s="17">
        <v>789.63</v>
      </c>
      <c r="R30" s="15" t="s">
        <v>23</v>
      </c>
    </row>
    <row r="31" spans="1:18" ht="14.25" customHeight="1" x14ac:dyDescent="0.3">
      <c r="A31" s="14">
        <v>44958</v>
      </c>
      <c r="B31" s="15">
        <v>2023</v>
      </c>
      <c r="C31" s="15" t="s">
        <v>38</v>
      </c>
      <c r="D31" s="15" t="s">
        <v>24</v>
      </c>
      <c r="E31" s="15" t="s">
        <v>31</v>
      </c>
      <c r="F31" s="15" t="s">
        <v>32</v>
      </c>
      <c r="G31" s="15" t="s">
        <v>33</v>
      </c>
      <c r="H31" s="16">
        <v>98</v>
      </c>
      <c r="I31" s="17">
        <v>703.1</v>
      </c>
      <c r="J31" s="18">
        <v>0.12</v>
      </c>
      <c r="K31" s="17">
        <v>68903.600000000006</v>
      </c>
      <c r="L31" s="17">
        <v>60635.17</v>
      </c>
      <c r="M31" s="17">
        <v>548.54999999999995</v>
      </c>
      <c r="N31" s="17">
        <v>53757.9</v>
      </c>
      <c r="O31" s="17">
        <v>6877.27</v>
      </c>
      <c r="P31" s="18">
        <v>0.1134</v>
      </c>
      <c r="Q31" s="17">
        <v>731.81</v>
      </c>
      <c r="R31" s="15" t="s">
        <v>23</v>
      </c>
    </row>
    <row r="32" spans="1:18" ht="14.25" customHeight="1" x14ac:dyDescent="0.3">
      <c r="A32" s="14">
        <v>44958</v>
      </c>
      <c r="B32" s="15">
        <v>2023</v>
      </c>
      <c r="C32" s="15" t="s">
        <v>38</v>
      </c>
      <c r="D32" s="15" t="s">
        <v>27</v>
      </c>
      <c r="E32" s="15" t="s">
        <v>20</v>
      </c>
      <c r="F32" s="15" t="s">
        <v>21</v>
      </c>
      <c r="G32" s="15" t="s">
        <v>33</v>
      </c>
      <c r="H32" s="16">
        <v>106</v>
      </c>
      <c r="I32" s="17">
        <v>710.09</v>
      </c>
      <c r="J32" s="18">
        <v>8.5000000000000006E-2</v>
      </c>
      <c r="K32" s="17">
        <v>75269.960000000006</v>
      </c>
      <c r="L32" s="17">
        <v>68872.02</v>
      </c>
      <c r="M32" s="17">
        <v>548.54999999999995</v>
      </c>
      <c r="N32" s="17">
        <v>58146.3</v>
      </c>
      <c r="O32" s="17">
        <v>10725.72</v>
      </c>
      <c r="P32" s="18">
        <v>0.15570000000000001</v>
      </c>
      <c r="Q32" s="17">
        <v>1219.1500000000001</v>
      </c>
      <c r="R32" s="15" t="s">
        <v>23</v>
      </c>
    </row>
    <row r="33" spans="1:18" ht="14.25" customHeight="1" x14ac:dyDescent="0.3">
      <c r="A33" s="14">
        <v>44958</v>
      </c>
      <c r="B33" s="15">
        <v>2023</v>
      </c>
      <c r="C33" s="15" t="s">
        <v>38</v>
      </c>
      <c r="D33" s="15" t="s">
        <v>30</v>
      </c>
      <c r="E33" s="15" t="s">
        <v>25</v>
      </c>
      <c r="F33" s="15" t="s">
        <v>26</v>
      </c>
      <c r="G33" s="15" t="s">
        <v>33</v>
      </c>
      <c r="H33" s="16">
        <v>54</v>
      </c>
      <c r="I33" s="17">
        <v>689.11</v>
      </c>
      <c r="J33" s="18">
        <v>5.5E-2</v>
      </c>
      <c r="K33" s="17">
        <v>37211.72</v>
      </c>
      <c r="L33" s="17">
        <v>35165.08</v>
      </c>
      <c r="M33" s="17">
        <v>548.54999999999995</v>
      </c>
      <c r="N33" s="17">
        <v>29621.7</v>
      </c>
      <c r="O33" s="17">
        <v>5543.38</v>
      </c>
      <c r="P33" s="18">
        <v>0.15759999999999999</v>
      </c>
      <c r="Q33" s="17">
        <v>814.64</v>
      </c>
      <c r="R33" s="15" t="s">
        <v>23</v>
      </c>
    </row>
    <row r="34" spans="1:18" ht="14.25" customHeight="1" x14ac:dyDescent="0.3">
      <c r="A34" s="14">
        <v>44958</v>
      </c>
      <c r="B34" s="15">
        <v>2023</v>
      </c>
      <c r="C34" s="15" t="s">
        <v>38</v>
      </c>
      <c r="D34" s="15" t="s">
        <v>19</v>
      </c>
      <c r="E34" s="15" t="s">
        <v>20</v>
      </c>
      <c r="F34" s="15" t="s">
        <v>26</v>
      </c>
      <c r="G34" s="15" t="s">
        <v>34</v>
      </c>
      <c r="H34" s="16">
        <v>164</v>
      </c>
      <c r="I34" s="17">
        <v>221.49</v>
      </c>
      <c r="J34" s="18">
        <v>8.5000000000000006E-2</v>
      </c>
      <c r="K34" s="17">
        <v>36323.870000000003</v>
      </c>
      <c r="L34" s="17">
        <v>33236.339999999997</v>
      </c>
      <c r="M34" s="17">
        <v>151.05000000000001</v>
      </c>
      <c r="N34" s="17">
        <v>24772.2</v>
      </c>
      <c r="O34" s="17">
        <v>8464.14</v>
      </c>
      <c r="P34" s="18">
        <v>0.25469999999999998</v>
      </c>
      <c r="Q34" s="17">
        <v>774.24</v>
      </c>
      <c r="R34" s="15" t="s">
        <v>23</v>
      </c>
    </row>
    <row r="35" spans="1:18" ht="14.25" customHeight="1" x14ac:dyDescent="0.3">
      <c r="A35" s="14">
        <v>44958</v>
      </c>
      <c r="B35" s="15">
        <v>2023</v>
      </c>
      <c r="C35" s="15" t="s">
        <v>38</v>
      </c>
      <c r="D35" s="15" t="s">
        <v>24</v>
      </c>
      <c r="E35" s="15" t="s">
        <v>25</v>
      </c>
      <c r="F35" s="15" t="s">
        <v>21</v>
      </c>
      <c r="G35" s="15" t="s">
        <v>34</v>
      </c>
      <c r="H35" s="16">
        <v>137</v>
      </c>
      <c r="I35" s="17">
        <v>223.71</v>
      </c>
      <c r="J35" s="18">
        <v>5.5E-2</v>
      </c>
      <c r="K35" s="17">
        <v>30648.68</v>
      </c>
      <c r="L35" s="17">
        <v>28963</v>
      </c>
      <c r="M35" s="17">
        <v>151.05000000000001</v>
      </c>
      <c r="N35" s="17">
        <v>20693.849999999999</v>
      </c>
      <c r="O35" s="17">
        <v>8269.15</v>
      </c>
      <c r="P35" s="18">
        <v>0.28549999999999998</v>
      </c>
      <c r="Q35" s="17">
        <v>667.37</v>
      </c>
      <c r="R35" s="15" t="s">
        <v>23</v>
      </c>
    </row>
    <row r="36" spans="1:18" ht="14.25" customHeight="1" x14ac:dyDescent="0.3">
      <c r="A36" s="14">
        <v>44958</v>
      </c>
      <c r="B36" s="15">
        <v>2023</v>
      </c>
      <c r="C36" s="15" t="s">
        <v>38</v>
      </c>
      <c r="D36" s="15" t="s">
        <v>27</v>
      </c>
      <c r="E36" s="15" t="s">
        <v>31</v>
      </c>
      <c r="F36" s="15" t="s">
        <v>32</v>
      </c>
      <c r="G36" s="15" t="s">
        <v>34</v>
      </c>
      <c r="H36" s="16">
        <v>203</v>
      </c>
      <c r="I36" s="17">
        <v>225.94</v>
      </c>
      <c r="J36" s="18">
        <v>0.12</v>
      </c>
      <c r="K36" s="17">
        <v>45865.62</v>
      </c>
      <c r="L36" s="17">
        <v>40361.74</v>
      </c>
      <c r="M36" s="17">
        <v>151.05000000000001</v>
      </c>
      <c r="N36" s="17">
        <v>30663.15</v>
      </c>
      <c r="O36" s="17">
        <v>9698.59</v>
      </c>
      <c r="P36" s="18">
        <v>0.24030000000000001</v>
      </c>
      <c r="Q36" s="17">
        <v>529.23</v>
      </c>
      <c r="R36" s="15" t="s">
        <v>23</v>
      </c>
    </row>
    <row r="37" spans="1:18" ht="14.25" customHeight="1" x14ac:dyDescent="0.3">
      <c r="A37" s="14">
        <v>44958</v>
      </c>
      <c r="B37" s="15">
        <v>2023</v>
      </c>
      <c r="C37" s="15" t="s">
        <v>38</v>
      </c>
      <c r="D37" s="15" t="s">
        <v>30</v>
      </c>
      <c r="E37" s="15" t="s">
        <v>20</v>
      </c>
      <c r="F37" s="15" t="s">
        <v>21</v>
      </c>
      <c r="G37" s="15" t="s">
        <v>34</v>
      </c>
      <c r="H37" s="16">
        <v>119</v>
      </c>
      <c r="I37" s="17">
        <v>219.26</v>
      </c>
      <c r="J37" s="18">
        <v>8.5000000000000006E-2</v>
      </c>
      <c r="K37" s="17">
        <v>26092.06</v>
      </c>
      <c r="L37" s="17">
        <v>23874.23</v>
      </c>
      <c r="M37" s="17">
        <v>151.05000000000001</v>
      </c>
      <c r="N37" s="17">
        <v>17974.95</v>
      </c>
      <c r="O37" s="17">
        <v>5899.28</v>
      </c>
      <c r="P37" s="18">
        <v>0.24709999999999999</v>
      </c>
      <c r="Q37" s="17">
        <v>690.23</v>
      </c>
      <c r="R37" s="15" t="s">
        <v>23</v>
      </c>
    </row>
    <row r="38" spans="1:18" ht="14.25" customHeight="1" x14ac:dyDescent="0.3">
      <c r="A38" s="14">
        <v>44958</v>
      </c>
      <c r="B38" s="15">
        <v>2023</v>
      </c>
      <c r="C38" s="15" t="s">
        <v>38</v>
      </c>
      <c r="D38" s="15" t="s">
        <v>19</v>
      </c>
      <c r="E38" s="15" t="s">
        <v>25</v>
      </c>
      <c r="F38" s="15" t="s">
        <v>21</v>
      </c>
      <c r="G38" s="15" t="s">
        <v>35</v>
      </c>
      <c r="H38" s="16">
        <v>537</v>
      </c>
      <c r="I38" s="17">
        <v>11.07</v>
      </c>
      <c r="J38" s="18">
        <v>5.5E-2</v>
      </c>
      <c r="K38" s="17">
        <v>5946.93</v>
      </c>
      <c r="L38" s="17">
        <v>5619.85</v>
      </c>
      <c r="M38" s="17">
        <v>5.57</v>
      </c>
      <c r="N38" s="17">
        <v>2988.41</v>
      </c>
      <c r="O38" s="17">
        <v>2631.44</v>
      </c>
      <c r="P38" s="18">
        <v>0.46820000000000001</v>
      </c>
      <c r="Q38" s="17">
        <v>299.58</v>
      </c>
      <c r="R38" s="15" t="s">
        <v>23</v>
      </c>
    </row>
    <row r="39" spans="1:18" ht="14.25" customHeight="1" x14ac:dyDescent="0.3">
      <c r="A39" s="14">
        <v>44958</v>
      </c>
      <c r="B39" s="15">
        <v>2023</v>
      </c>
      <c r="C39" s="15" t="s">
        <v>38</v>
      </c>
      <c r="D39" s="15" t="s">
        <v>24</v>
      </c>
      <c r="E39" s="15" t="s">
        <v>31</v>
      </c>
      <c r="F39" s="15" t="s">
        <v>32</v>
      </c>
      <c r="G39" s="15" t="s">
        <v>35</v>
      </c>
      <c r="H39" s="16">
        <v>775</v>
      </c>
      <c r="I39" s="17">
        <v>11.19</v>
      </c>
      <c r="J39" s="18">
        <v>0.12</v>
      </c>
      <c r="K39" s="17">
        <v>8668.8799999999992</v>
      </c>
      <c r="L39" s="17">
        <v>7628.61</v>
      </c>
      <c r="M39" s="17">
        <v>5.57</v>
      </c>
      <c r="N39" s="17">
        <v>4312.88</v>
      </c>
      <c r="O39" s="17">
        <v>3315.74</v>
      </c>
      <c r="P39" s="18">
        <v>0.43459999999999999</v>
      </c>
      <c r="Q39" s="17">
        <v>244.26</v>
      </c>
      <c r="R39" s="15" t="s">
        <v>23</v>
      </c>
    </row>
    <row r="40" spans="1:18" ht="14.25" customHeight="1" x14ac:dyDescent="0.3">
      <c r="A40" s="14">
        <v>44958</v>
      </c>
      <c r="B40" s="15">
        <v>2023</v>
      </c>
      <c r="C40" s="15" t="s">
        <v>38</v>
      </c>
      <c r="D40" s="15" t="s">
        <v>27</v>
      </c>
      <c r="E40" s="15" t="s">
        <v>20</v>
      </c>
      <c r="F40" s="15" t="s">
        <v>21</v>
      </c>
      <c r="G40" s="15" t="s">
        <v>35</v>
      </c>
      <c r="H40" s="16">
        <v>784</v>
      </c>
      <c r="I40" s="17">
        <v>11.3</v>
      </c>
      <c r="J40" s="18">
        <v>8.5000000000000006E-2</v>
      </c>
      <c r="K40" s="17">
        <v>8856.81</v>
      </c>
      <c r="L40" s="17">
        <v>8103.98</v>
      </c>
      <c r="M40" s="17">
        <v>5.57</v>
      </c>
      <c r="N40" s="17">
        <v>4362.96</v>
      </c>
      <c r="O40" s="17">
        <v>3741.02</v>
      </c>
      <c r="P40" s="18">
        <v>0.46160000000000001</v>
      </c>
      <c r="Q40" s="17">
        <v>400.56</v>
      </c>
      <c r="R40" s="15" t="s">
        <v>23</v>
      </c>
    </row>
    <row r="41" spans="1:18" ht="14.25" customHeight="1" x14ac:dyDescent="0.3">
      <c r="A41" s="14">
        <v>44958</v>
      </c>
      <c r="B41" s="15">
        <v>2023</v>
      </c>
      <c r="C41" s="15" t="s">
        <v>38</v>
      </c>
      <c r="D41" s="15" t="s">
        <v>30</v>
      </c>
      <c r="E41" s="15" t="s">
        <v>25</v>
      </c>
      <c r="F41" s="15" t="s">
        <v>26</v>
      </c>
      <c r="G41" s="15" t="s">
        <v>35</v>
      </c>
      <c r="H41" s="16">
        <v>390</v>
      </c>
      <c r="I41" s="17">
        <v>10.96</v>
      </c>
      <c r="J41" s="18">
        <v>5.5E-2</v>
      </c>
      <c r="K41" s="17">
        <v>4275.59</v>
      </c>
      <c r="L41" s="17">
        <v>4040.43</v>
      </c>
      <c r="M41" s="17">
        <v>5.57</v>
      </c>
      <c r="N41" s="17">
        <v>2170.35</v>
      </c>
      <c r="O41" s="17">
        <v>1870.08</v>
      </c>
      <c r="P41" s="18">
        <v>0.46279999999999999</v>
      </c>
      <c r="Q41" s="17">
        <v>262.18</v>
      </c>
      <c r="R41" s="15" t="s">
        <v>23</v>
      </c>
    </row>
    <row r="42" spans="1:18" ht="14.25" customHeight="1" x14ac:dyDescent="0.3">
      <c r="A42" s="14">
        <v>44958</v>
      </c>
      <c r="B42" s="15">
        <v>2023</v>
      </c>
      <c r="C42" s="15" t="s">
        <v>38</v>
      </c>
      <c r="D42" s="15" t="s">
        <v>19</v>
      </c>
      <c r="E42" s="15" t="s">
        <v>31</v>
      </c>
      <c r="F42" s="15" t="s">
        <v>32</v>
      </c>
      <c r="G42" s="15" t="s">
        <v>36</v>
      </c>
      <c r="H42" s="16">
        <v>216</v>
      </c>
      <c r="I42" s="17">
        <v>67.239999999999995</v>
      </c>
      <c r="J42" s="18">
        <v>0.105</v>
      </c>
      <c r="K42" s="17">
        <v>14524.08</v>
      </c>
      <c r="L42" s="17">
        <v>12999.05</v>
      </c>
      <c r="M42" s="17">
        <v>14.31</v>
      </c>
      <c r="N42" s="17">
        <v>3090.96</v>
      </c>
      <c r="O42" s="17">
        <v>9908.09</v>
      </c>
      <c r="P42" s="18">
        <v>0.76219999999999999</v>
      </c>
      <c r="Q42" s="17">
        <v>323.18</v>
      </c>
      <c r="R42" s="15" t="s">
        <v>23</v>
      </c>
    </row>
    <row r="43" spans="1:18" ht="14.25" customHeight="1" x14ac:dyDescent="0.3">
      <c r="A43" s="14">
        <v>44958</v>
      </c>
      <c r="B43" s="15">
        <v>2023</v>
      </c>
      <c r="C43" s="15" t="s">
        <v>38</v>
      </c>
      <c r="D43" s="15" t="s">
        <v>24</v>
      </c>
      <c r="E43" s="15" t="s">
        <v>20</v>
      </c>
      <c r="F43" s="15" t="s">
        <v>21</v>
      </c>
      <c r="G43" s="15" t="s">
        <v>36</v>
      </c>
      <c r="H43" s="16">
        <v>215</v>
      </c>
      <c r="I43" s="17">
        <v>67.91</v>
      </c>
      <c r="J43" s="18">
        <v>7.0000000000000007E-2</v>
      </c>
      <c r="K43" s="17">
        <v>14600.41</v>
      </c>
      <c r="L43" s="17">
        <v>13578.39</v>
      </c>
      <c r="M43" s="17">
        <v>14.31</v>
      </c>
      <c r="N43" s="17">
        <v>3076.65</v>
      </c>
      <c r="O43" s="17">
        <v>10501.74</v>
      </c>
      <c r="P43" s="18">
        <v>0.77339999999999998</v>
      </c>
      <c r="Q43" s="17">
        <v>577.58000000000004</v>
      </c>
      <c r="R43" s="15" t="s">
        <v>23</v>
      </c>
    </row>
    <row r="44" spans="1:18" ht="14.25" customHeight="1" x14ac:dyDescent="0.3">
      <c r="A44" s="14">
        <v>44958</v>
      </c>
      <c r="B44" s="15">
        <v>2023</v>
      </c>
      <c r="C44" s="15" t="s">
        <v>38</v>
      </c>
      <c r="D44" s="15" t="s">
        <v>27</v>
      </c>
      <c r="E44" s="15" t="s">
        <v>28</v>
      </c>
      <c r="F44" s="15" t="s">
        <v>32</v>
      </c>
      <c r="G44" s="15" t="s">
        <v>36</v>
      </c>
      <c r="H44" s="16">
        <v>131</v>
      </c>
      <c r="I44" s="17">
        <v>68.59</v>
      </c>
      <c r="J44" s="18">
        <v>2.5000000000000001E-2</v>
      </c>
      <c r="K44" s="17">
        <v>8985.6299999999992</v>
      </c>
      <c r="L44" s="17">
        <v>8760.99</v>
      </c>
      <c r="M44" s="17">
        <v>14.31</v>
      </c>
      <c r="N44" s="17">
        <v>1874.61</v>
      </c>
      <c r="O44" s="17">
        <v>6886.38</v>
      </c>
      <c r="P44" s="18">
        <v>0.78600000000000003</v>
      </c>
      <c r="Q44" s="17">
        <v>408.77</v>
      </c>
      <c r="R44" s="15" t="s">
        <v>23</v>
      </c>
    </row>
    <row r="45" spans="1:18" ht="14.25" customHeight="1" x14ac:dyDescent="0.3">
      <c r="A45" s="14">
        <v>44958</v>
      </c>
      <c r="B45" s="15">
        <v>2023</v>
      </c>
      <c r="C45" s="15" t="s">
        <v>38</v>
      </c>
      <c r="D45" s="15" t="s">
        <v>30</v>
      </c>
      <c r="E45" s="15" t="s">
        <v>31</v>
      </c>
      <c r="F45" s="15" t="s">
        <v>32</v>
      </c>
      <c r="G45" s="15" t="s">
        <v>36</v>
      </c>
      <c r="H45" s="16">
        <v>178</v>
      </c>
      <c r="I45" s="17">
        <v>66.56</v>
      </c>
      <c r="J45" s="18">
        <v>0.105</v>
      </c>
      <c r="K45" s="17">
        <v>11847.22</v>
      </c>
      <c r="L45" s="17">
        <v>10603.26</v>
      </c>
      <c r="M45" s="17">
        <v>14.31</v>
      </c>
      <c r="N45" s="17">
        <v>2547.1799999999998</v>
      </c>
      <c r="O45" s="17">
        <v>8056.08</v>
      </c>
      <c r="P45" s="18">
        <v>0.75980000000000003</v>
      </c>
      <c r="Q45" s="17">
        <v>290.12</v>
      </c>
      <c r="R45" s="15" t="s">
        <v>23</v>
      </c>
    </row>
    <row r="46" spans="1:18" ht="14.25" customHeight="1" x14ac:dyDescent="0.3">
      <c r="A46" s="14">
        <v>44958</v>
      </c>
      <c r="B46" s="15">
        <v>2023</v>
      </c>
      <c r="C46" s="15" t="s">
        <v>38</v>
      </c>
      <c r="D46" s="15" t="s">
        <v>19</v>
      </c>
      <c r="E46" s="15" t="s">
        <v>20</v>
      </c>
      <c r="F46" s="15" t="s">
        <v>21</v>
      </c>
      <c r="G46" s="15" t="s">
        <v>37</v>
      </c>
      <c r="H46" s="16">
        <v>166</v>
      </c>
      <c r="I46" s="17">
        <v>51.42</v>
      </c>
      <c r="J46" s="18">
        <v>7.0000000000000007E-2</v>
      </c>
      <c r="K46" s="17">
        <v>8535.82</v>
      </c>
      <c r="L46" s="17">
        <v>7938.31</v>
      </c>
      <c r="M46" s="17">
        <v>7.16</v>
      </c>
      <c r="N46" s="17">
        <v>1187.73</v>
      </c>
      <c r="O46" s="17">
        <v>6750.58</v>
      </c>
      <c r="P46" s="18">
        <v>0.85040000000000004</v>
      </c>
      <c r="Q46" s="17">
        <v>307.39</v>
      </c>
      <c r="R46" s="15" t="s">
        <v>23</v>
      </c>
    </row>
    <row r="47" spans="1:18" ht="14.25" customHeight="1" x14ac:dyDescent="0.3">
      <c r="A47" s="14">
        <v>44958</v>
      </c>
      <c r="B47" s="15">
        <v>2023</v>
      </c>
      <c r="C47" s="15" t="s">
        <v>38</v>
      </c>
      <c r="D47" s="15" t="s">
        <v>24</v>
      </c>
      <c r="E47" s="15" t="s">
        <v>25</v>
      </c>
      <c r="F47" s="15" t="s">
        <v>26</v>
      </c>
      <c r="G47" s="15" t="s">
        <v>37</v>
      </c>
      <c r="H47" s="16">
        <v>150</v>
      </c>
      <c r="I47" s="17">
        <v>51.93</v>
      </c>
      <c r="J47" s="18">
        <v>0.04</v>
      </c>
      <c r="K47" s="17">
        <v>7789.41</v>
      </c>
      <c r="L47" s="17">
        <v>7477.83</v>
      </c>
      <c r="M47" s="17">
        <v>7.16</v>
      </c>
      <c r="N47" s="17">
        <v>1073.25</v>
      </c>
      <c r="O47" s="17">
        <v>6404.58</v>
      </c>
      <c r="P47" s="18">
        <v>0.85650000000000004</v>
      </c>
      <c r="Q47" s="17">
        <v>294.89999999999998</v>
      </c>
      <c r="R47" s="15" t="s">
        <v>23</v>
      </c>
    </row>
    <row r="48" spans="1:18" ht="14.25" customHeight="1" x14ac:dyDescent="0.3">
      <c r="A48" s="14">
        <v>44958</v>
      </c>
      <c r="B48" s="15">
        <v>2023</v>
      </c>
      <c r="C48" s="15" t="s">
        <v>38</v>
      </c>
      <c r="D48" s="15" t="s">
        <v>27</v>
      </c>
      <c r="E48" s="15" t="s">
        <v>28</v>
      </c>
      <c r="F48" s="15" t="s">
        <v>29</v>
      </c>
      <c r="G48" s="15" t="s">
        <v>37</v>
      </c>
      <c r="H48" s="16">
        <v>124</v>
      </c>
      <c r="I48" s="17">
        <v>52.45</v>
      </c>
      <c r="J48" s="18">
        <v>2.5000000000000001E-2</v>
      </c>
      <c r="K48" s="17">
        <v>6503.32</v>
      </c>
      <c r="L48" s="17">
        <v>6340.74</v>
      </c>
      <c r="M48" s="17">
        <v>7.16</v>
      </c>
      <c r="N48" s="17">
        <v>887.22</v>
      </c>
      <c r="O48" s="17">
        <v>5453.52</v>
      </c>
      <c r="P48" s="18">
        <v>0.86009999999999998</v>
      </c>
      <c r="Q48" s="17">
        <v>255.72</v>
      </c>
      <c r="R48" s="15" t="s">
        <v>23</v>
      </c>
    </row>
    <row r="49" spans="1:18" ht="14.25" customHeight="1" x14ac:dyDescent="0.3">
      <c r="A49" s="14">
        <v>44958</v>
      </c>
      <c r="B49" s="15">
        <v>2023</v>
      </c>
      <c r="C49" s="15" t="s">
        <v>38</v>
      </c>
      <c r="D49" s="15" t="s">
        <v>30</v>
      </c>
      <c r="E49" s="15" t="s">
        <v>20</v>
      </c>
      <c r="F49" s="15" t="s">
        <v>26</v>
      </c>
      <c r="G49" s="15" t="s">
        <v>37</v>
      </c>
      <c r="H49" s="16">
        <v>129</v>
      </c>
      <c r="I49" s="17">
        <v>50.9</v>
      </c>
      <c r="J49" s="18">
        <v>7.0000000000000007E-2</v>
      </c>
      <c r="K49" s="17">
        <v>6565.57</v>
      </c>
      <c r="L49" s="17">
        <v>6105.98</v>
      </c>
      <c r="M49" s="17">
        <v>7.16</v>
      </c>
      <c r="N49" s="17">
        <v>923</v>
      </c>
      <c r="O49" s="17">
        <v>5182.99</v>
      </c>
      <c r="P49" s="18">
        <v>0.8488</v>
      </c>
      <c r="Q49" s="17">
        <v>278.02</v>
      </c>
      <c r="R49" s="15" t="s">
        <v>23</v>
      </c>
    </row>
    <row r="50" spans="1:18" ht="14.25" customHeight="1" x14ac:dyDescent="0.3">
      <c r="A50" s="14">
        <v>44986</v>
      </c>
      <c r="B50" s="15">
        <v>2023</v>
      </c>
      <c r="C50" s="15" t="s">
        <v>39</v>
      </c>
      <c r="D50" s="15" t="s">
        <v>19</v>
      </c>
      <c r="E50" s="15" t="s">
        <v>28</v>
      </c>
      <c r="F50" s="15" t="s">
        <v>29</v>
      </c>
      <c r="G50" s="15" t="s">
        <v>22</v>
      </c>
      <c r="H50" s="16">
        <v>98</v>
      </c>
      <c r="I50" s="17">
        <v>490.44</v>
      </c>
      <c r="J50" s="18">
        <v>6.5000000000000002E-2</v>
      </c>
      <c r="K50" s="17">
        <v>48062.68</v>
      </c>
      <c r="L50" s="17">
        <v>44938.61</v>
      </c>
      <c r="M50" s="17">
        <v>369.68</v>
      </c>
      <c r="N50" s="17">
        <v>36228.15</v>
      </c>
      <c r="O50" s="17">
        <v>8710.4599999999991</v>
      </c>
      <c r="P50" s="18">
        <v>0.1938</v>
      </c>
      <c r="Q50" s="17">
        <v>1142.99</v>
      </c>
      <c r="R50" s="15" t="s">
        <v>40</v>
      </c>
    </row>
    <row r="51" spans="1:18" ht="14.25" customHeight="1" x14ac:dyDescent="0.3">
      <c r="A51" s="14">
        <v>44986</v>
      </c>
      <c r="B51" s="15">
        <v>2023</v>
      </c>
      <c r="C51" s="15" t="s">
        <v>39</v>
      </c>
      <c r="D51" s="15" t="s">
        <v>24</v>
      </c>
      <c r="E51" s="15" t="s">
        <v>31</v>
      </c>
      <c r="F51" s="15" t="s">
        <v>32</v>
      </c>
      <c r="G51" s="15" t="s">
        <v>22</v>
      </c>
      <c r="H51" s="16">
        <v>206</v>
      </c>
      <c r="I51" s="17">
        <v>495.36</v>
      </c>
      <c r="J51" s="18">
        <v>0.14499999999999999</v>
      </c>
      <c r="K51" s="17">
        <v>102045.09</v>
      </c>
      <c r="L51" s="17">
        <v>87248.55</v>
      </c>
      <c r="M51" s="17">
        <v>369.68</v>
      </c>
      <c r="N51" s="17">
        <v>76153.05</v>
      </c>
      <c r="O51" s="17">
        <v>11095.5</v>
      </c>
      <c r="P51" s="18">
        <v>0.12720000000000001</v>
      </c>
      <c r="Q51" s="17">
        <v>1118.03</v>
      </c>
      <c r="R51" s="15" t="s">
        <v>40</v>
      </c>
    </row>
    <row r="52" spans="1:18" ht="14.25" customHeight="1" x14ac:dyDescent="0.3">
      <c r="A52" s="14">
        <v>44986</v>
      </c>
      <c r="B52" s="15">
        <v>2023</v>
      </c>
      <c r="C52" s="15" t="s">
        <v>39</v>
      </c>
      <c r="D52" s="15" t="s">
        <v>27</v>
      </c>
      <c r="E52" s="15" t="s">
        <v>20</v>
      </c>
      <c r="F52" s="15" t="s">
        <v>21</v>
      </c>
      <c r="G52" s="15" t="s">
        <v>22</v>
      </c>
      <c r="H52" s="16">
        <v>165</v>
      </c>
      <c r="I52" s="17">
        <v>500.29</v>
      </c>
      <c r="J52" s="18">
        <v>0.11</v>
      </c>
      <c r="K52" s="17">
        <v>82548.429999999993</v>
      </c>
      <c r="L52" s="17">
        <v>73468.100000000006</v>
      </c>
      <c r="M52" s="17">
        <v>369.68</v>
      </c>
      <c r="N52" s="17">
        <v>60996.38</v>
      </c>
      <c r="O52" s="17">
        <v>12471.72</v>
      </c>
      <c r="P52" s="18">
        <v>0.16980000000000001</v>
      </c>
      <c r="Q52" s="17">
        <v>1804.32</v>
      </c>
      <c r="R52" s="15" t="s">
        <v>40</v>
      </c>
    </row>
    <row r="53" spans="1:18" ht="14.25" customHeight="1" x14ac:dyDescent="0.3">
      <c r="A53" s="14">
        <v>44986</v>
      </c>
      <c r="B53" s="15">
        <v>2023</v>
      </c>
      <c r="C53" s="15" t="s">
        <v>39</v>
      </c>
      <c r="D53" s="15" t="s">
        <v>30</v>
      </c>
      <c r="E53" s="15" t="s">
        <v>25</v>
      </c>
      <c r="F53" s="15" t="s">
        <v>26</v>
      </c>
      <c r="G53" s="15" t="s">
        <v>22</v>
      </c>
      <c r="H53" s="16">
        <v>97</v>
      </c>
      <c r="I53" s="17">
        <v>485.51</v>
      </c>
      <c r="J53" s="18">
        <v>0.08</v>
      </c>
      <c r="K53" s="17">
        <v>47094.13</v>
      </c>
      <c r="L53" s="17">
        <v>43326.6</v>
      </c>
      <c r="M53" s="17">
        <v>369.68</v>
      </c>
      <c r="N53" s="17">
        <v>35858.47</v>
      </c>
      <c r="O53" s="17">
        <v>7468.13</v>
      </c>
      <c r="P53" s="18">
        <v>0.1724</v>
      </c>
      <c r="Q53" s="17">
        <v>1184.07</v>
      </c>
      <c r="R53" s="15" t="s">
        <v>40</v>
      </c>
    </row>
    <row r="54" spans="1:18" ht="14.25" customHeight="1" x14ac:dyDescent="0.3">
      <c r="A54" s="14">
        <v>44986</v>
      </c>
      <c r="B54" s="15">
        <v>2023</v>
      </c>
      <c r="C54" s="15" t="s">
        <v>39</v>
      </c>
      <c r="D54" s="15" t="s">
        <v>19</v>
      </c>
      <c r="E54" s="15" t="s">
        <v>31</v>
      </c>
      <c r="F54" s="15" t="s">
        <v>32</v>
      </c>
      <c r="G54" s="15" t="s">
        <v>33</v>
      </c>
      <c r="H54" s="16">
        <v>126</v>
      </c>
      <c r="I54" s="17">
        <v>696.1</v>
      </c>
      <c r="J54" s="18">
        <v>0.14499999999999999</v>
      </c>
      <c r="K54" s="17">
        <v>87708.85</v>
      </c>
      <c r="L54" s="17">
        <v>74991.070000000007</v>
      </c>
      <c r="M54" s="17">
        <v>548.54999999999995</v>
      </c>
      <c r="N54" s="17">
        <v>69117.3</v>
      </c>
      <c r="O54" s="17">
        <v>5873.77</v>
      </c>
      <c r="P54" s="18">
        <v>7.8299999999999995E-2</v>
      </c>
      <c r="Q54" s="17">
        <v>1017.52</v>
      </c>
      <c r="R54" s="15" t="s">
        <v>40</v>
      </c>
    </row>
    <row r="55" spans="1:18" ht="14.25" customHeight="1" x14ac:dyDescent="0.3">
      <c r="A55" s="14">
        <v>44986</v>
      </c>
      <c r="B55" s="15">
        <v>2023</v>
      </c>
      <c r="C55" s="15" t="s">
        <v>39</v>
      </c>
      <c r="D55" s="15" t="s">
        <v>24</v>
      </c>
      <c r="E55" s="15" t="s">
        <v>20</v>
      </c>
      <c r="F55" s="15" t="s">
        <v>21</v>
      </c>
      <c r="G55" s="15" t="s">
        <v>33</v>
      </c>
      <c r="H55" s="16">
        <v>113</v>
      </c>
      <c r="I55" s="17">
        <v>703.1</v>
      </c>
      <c r="J55" s="18">
        <v>0.11</v>
      </c>
      <c r="K55" s="17">
        <v>79450.070000000007</v>
      </c>
      <c r="L55" s="17">
        <v>70710.570000000007</v>
      </c>
      <c r="M55" s="17">
        <v>548.54999999999995</v>
      </c>
      <c r="N55" s="17">
        <v>61986.15</v>
      </c>
      <c r="O55" s="17">
        <v>8724.42</v>
      </c>
      <c r="P55" s="18">
        <v>0.1234</v>
      </c>
      <c r="Q55" s="17">
        <v>1700.77</v>
      </c>
      <c r="R55" s="15" t="s">
        <v>40</v>
      </c>
    </row>
    <row r="56" spans="1:18" ht="14.25" customHeight="1" x14ac:dyDescent="0.3">
      <c r="A56" s="14">
        <v>44986</v>
      </c>
      <c r="B56" s="15">
        <v>2023</v>
      </c>
      <c r="C56" s="15" t="s">
        <v>39</v>
      </c>
      <c r="D56" s="15" t="s">
        <v>27</v>
      </c>
      <c r="E56" s="15" t="s">
        <v>25</v>
      </c>
      <c r="F56" s="15" t="s">
        <v>26</v>
      </c>
      <c r="G56" s="15" t="s">
        <v>33</v>
      </c>
      <c r="H56" s="16">
        <v>105</v>
      </c>
      <c r="I56" s="17">
        <v>710.09</v>
      </c>
      <c r="J56" s="18">
        <v>0.08</v>
      </c>
      <c r="K56" s="17">
        <v>74559.87</v>
      </c>
      <c r="L56" s="17">
        <v>68595.08</v>
      </c>
      <c r="M56" s="17">
        <v>548.54999999999995</v>
      </c>
      <c r="N56" s="17">
        <v>57597.75</v>
      </c>
      <c r="O56" s="17">
        <v>10997.33</v>
      </c>
      <c r="P56" s="18">
        <v>0.1603</v>
      </c>
      <c r="Q56" s="17">
        <v>1557.1</v>
      </c>
      <c r="R56" s="15" t="s">
        <v>40</v>
      </c>
    </row>
    <row r="57" spans="1:18" ht="14.25" customHeight="1" x14ac:dyDescent="0.3">
      <c r="A57" s="14">
        <v>44986</v>
      </c>
      <c r="B57" s="15">
        <v>2023</v>
      </c>
      <c r="C57" s="15" t="s">
        <v>39</v>
      </c>
      <c r="D57" s="15" t="s">
        <v>30</v>
      </c>
      <c r="E57" s="15" t="s">
        <v>28</v>
      </c>
      <c r="F57" s="15" t="s">
        <v>29</v>
      </c>
      <c r="G57" s="15" t="s">
        <v>33</v>
      </c>
      <c r="H57" s="16">
        <v>55</v>
      </c>
      <c r="I57" s="17">
        <v>689.11</v>
      </c>
      <c r="J57" s="18">
        <v>6.5000000000000002E-2</v>
      </c>
      <c r="K57" s="17">
        <v>37900.83</v>
      </c>
      <c r="L57" s="17">
        <v>35437.279999999999</v>
      </c>
      <c r="M57" s="17">
        <v>548.54999999999995</v>
      </c>
      <c r="N57" s="17">
        <v>30170.25</v>
      </c>
      <c r="O57" s="17">
        <v>5267.03</v>
      </c>
      <c r="P57" s="18">
        <v>0.14860000000000001</v>
      </c>
      <c r="Q57" s="17">
        <v>984.5</v>
      </c>
      <c r="R57" s="15" t="s">
        <v>40</v>
      </c>
    </row>
    <row r="58" spans="1:18" ht="14.25" customHeight="1" x14ac:dyDescent="0.3">
      <c r="A58" s="14">
        <v>44986</v>
      </c>
      <c r="B58" s="15">
        <v>2023</v>
      </c>
      <c r="C58" s="15" t="s">
        <v>39</v>
      </c>
      <c r="D58" s="15" t="s">
        <v>19</v>
      </c>
      <c r="E58" s="15" t="s">
        <v>25</v>
      </c>
      <c r="F58" s="15" t="s">
        <v>21</v>
      </c>
      <c r="G58" s="15" t="s">
        <v>34</v>
      </c>
      <c r="H58" s="16">
        <v>166</v>
      </c>
      <c r="I58" s="17">
        <v>221.49</v>
      </c>
      <c r="J58" s="18">
        <v>0.08</v>
      </c>
      <c r="K58" s="17">
        <v>36766.839999999997</v>
      </c>
      <c r="L58" s="17">
        <v>33825.49</v>
      </c>
      <c r="M58" s="17">
        <v>151.05000000000001</v>
      </c>
      <c r="N58" s="17">
        <v>25074.3</v>
      </c>
      <c r="O58" s="17">
        <v>8751.19</v>
      </c>
      <c r="P58" s="18">
        <v>0.25869999999999999</v>
      </c>
      <c r="Q58" s="17">
        <v>919.79</v>
      </c>
      <c r="R58" s="15" t="s">
        <v>40</v>
      </c>
    </row>
    <row r="59" spans="1:18" ht="14.25" customHeight="1" x14ac:dyDescent="0.3">
      <c r="A59" s="14">
        <v>44986</v>
      </c>
      <c r="B59" s="15">
        <v>2023</v>
      </c>
      <c r="C59" s="15" t="s">
        <v>39</v>
      </c>
      <c r="D59" s="15" t="s">
        <v>24</v>
      </c>
      <c r="E59" s="15" t="s">
        <v>31</v>
      </c>
      <c r="F59" s="15" t="s">
        <v>32</v>
      </c>
      <c r="G59" s="15" t="s">
        <v>34</v>
      </c>
      <c r="H59" s="16">
        <v>279</v>
      </c>
      <c r="I59" s="17">
        <v>223.71</v>
      </c>
      <c r="J59" s="18">
        <v>0.14499999999999999</v>
      </c>
      <c r="K59" s="17">
        <v>62415.93</v>
      </c>
      <c r="L59" s="17">
        <v>53365.62</v>
      </c>
      <c r="M59" s="17">
        <v>151.05000000000001</v>
      </c>
      <c r="N59" s="17">
        <v>42142.95</v>
      </c>
      <c r="O59" s="17">
        <v>11222.67</v>
      </c>
      <c r="P59" s="18">
        <v>0.21029999999999999</v>
      </c>
      <c r="Q59" s="17">
        <v>787.36</v>
      </c>
      <c r="R59" s="15" t="s">
        <v>40</v>
      </c>
    </row>
    <row r="60" spans="1:18" ht="14.25" customHeight="1" x14ac:dyDescent="0.3">
      <c r="A60" s="14">
        <v>44986</v>
      </c>
      <c r="B60" s="15">
        <v>2023</v>
      </c>
      <c r="C60" s="15" t="s">
        <v>39</v>
      </c>
      <c r="D60" s="15" t="s">
        <v>27</v>
      </c>
      <c r="E60" s="15" t="s">
        <v>20</v>
      </c>
      <c r="F60" s="15" t="s">
        <v>21</v>
      </c>
      <c r="G60" s="15" t="s">
        <v>34</v>
      </c>
      <c r="H60" s="16">
        <v>235</v>
      </c>
      <c r="I60" s="17">
        <v>225.94</v>
      </c>
      <c r="J60" s="18">
        <v>0.11</v>
      </c>
      <c r="K60" s="17">
        <v>53095.67</v>
      </c>
      <c r="L60" s="17">
        <v>47255.14</v>
      </c>
      <c r="M60" s="17">
        <v>151.05000000000001</v>
      </c>
      <c r="N60" s="17">
        <v>35496.75</v>
      </c>
      <c r="O60" s="17">
        <v>11758.39</v>
      </c>
      <c r="P60" s="18">
        <v>0.24879999999999999</v>
      </c>
      <c r="Q60" s="17">
        <v>1261.55</v>
      </c>
      <c r="R60" s="15" t="s">
        <v>40</v>
      </c>
    </row>
    <row r="61" spans="1:18" ht="14.25" customHeight="1" x14ac:dyDescent="0.3">
      <c r="A61" s="14">
        <v>44986</v>
      </c>
      <c r="B61" s="15">
        <v>2023</v>
      </c>
      <c r="C61" s="15" t="s">
        <v>39</v>
      </c>
      <c r="D61" s="15" t="s">
        <v>30</v>
      </c>
      <c r="E61" s="15" t="s">
        <v>25</v>
      </c>
      <c r="F61" s="15" t="s">
        <v>26</v>
      </c>
      <c r="G61" s="15" t="s">
        <v>34</v>
      </c>
      <c r="H61" s="16">
        <v>131</v>
      </c>
      <c r="I61" s="17">
        <v>219.26</v>
      </c>
      <c r="J61" s="18">
        <v>0.08</v>
      </c>
      <c r="K61" s="17">
        <v>28723.19</v>
      </c>
      <c r="L61" s="17">
        <v>26425.34</v>
      </c>
      <c r="M61" s="17">
        <v>151.05000000000001</v>
      </c>
      <c r="N61" s="17">
        <v>19787.55</v>
      </c>
      <c r="O61" s="17">
        <v>6637.79</v>
      </c>
      <c r="P61" s="18">
        <v>0.25119999999999998</v>
      </c>
      <c r="Q61" s="17">
        <v>807.7</v>
      </c>
      <c r="R61" s="15" t="s">
        <v>40</v>
      </c>
    </row>
    <row r="62" spans="1:18" ht="14.25" customHeight="1" x14ac:dyDescent="0.3">
      <c r="A62" s="14">
        <v>44986</v>
      </c>
      <c r="B62" s="15">
        <v>2023</v>
      </c>
      <c r="C62" s="15" t="s">
        <v>39</v>
      </c>
      <c r="D62" s="15" t="s">
        <v>19</v>
      </c>
      <c r="E62" s="15" t="s">
        <v>31</v>
      </c>
      <c r="F62" s="15" t="s">
        <v>32</v>
      </c>
      <c r="G62" s="15" t="s">
        <v>35</v>
      </c>
      <c r="H62" s="16">
        <v>994</v>
      </c>
      <c r="I62" s="17">
        <v>11.07</v>
      </c>
      <c r="J62" s="18">
        <v>0.14499999999999999</v>
      </c>
      <c r="K62" s="17">
        <v>11007.9</v>
      </c>
      <c r="L62" s="17">
        <v>9411.76</v>
      </c>
      <c r="M62" s="17">
        <v>5.57</v>
      </c>
      <c r="N62" s="17">
        <v>5531.61</v>
      </c>
      <c r="O62" s="17">
        <v>3880.15</v>
      </c>
      <c r="P62" s="18">
        <v>0.4123</v>
      </c>
      <c r="Q62" s="17">
        <v>336.44</v>
      </c>
      <c r="R62" s="15" t="s">
        <v>40</v>
      </c>
    </row>
    <row r="63" spans="1:18" ht="14.25" customHeight="1" x14ac:dyDescent="0.3">
      <c r="A63" s="14">
        <v>44986</v>
      </c>
      <c r="B63" s="15">
        <v>2023</v>
      </c>
      <c r="C63" s="15" t="s">
        <v>39</v>
      </c>
      <c r="D63" s="15" t="s">
        <v>24</v>
      </c>
      <c r="E63" s="15" t="s">
        <v>20</v>
      </c>
      <c r="F63" s="15" t="s">
        <v>21</v>
      </c>
      <c r="G63" s="15" t="s">
        <v>35</v>
      </c>
      <c r="H63" s="16">
        <v>906</v>
      </c>
      <c r="I63" s="17">
        <v>11.19</v>
      </c>
      <c r="J63" s="18">
        <v>0.11</v>
      </c>
      <c r="K63" s="17">
        <v>10134.200000000001</v>
      </c>
      <c r="L63" s="17">
        <v>9019.43</v>
      </c>
      <c r="M63" s="17">
        <v>5.57</v>
      </c>
      <c r="N63" s="17">
        <v>5041.8900000000003</v>
      </c>
      <c r="O63" s="17">
        <v>3977.54</v>
      </c>
      <c r="P63" s="18">
        <v>0.441</v>
      </c>
      <c r="Q63" s="17">
        <v>571.28</v>
      </c>
      <c r="R63" s="15" t="s">
        <v>40</v>
      </c>
    </row>
    <row r="64" spans="1:18" ht="14.25" customHeight="1" x14ac:dyDescent="0.3">
      <c r="A64" s="14">
        <v>44986</v>
      </c>
      <c r="B64" s="15">
        <v>2023</v>
      </c>
      <c r="C64" s="15" t="s">
        <v>39</v>
      </c>
      <c r="D64" s="15" t="s">
        <v>27</v>
      </c>
      <c r="E64" s="15" t="s">
        <v>25</v>
      </c>
      <c r="F64" s="15" t="s">
        <v>26</v>
      </c>
      <c r="G64" s="15" t="s">
        <v>35</v>
      </c>
      <c r="H64" s="16">
        <v>734</v>
      </c>
      <c r="I64" s="17">
        <v>11.3</v>
      </c>
      <c r="J64" s="18">
        <v>0.08</v>
      </c>
      <c r="K64" s="17">
        <v>8291.9599999999991</v>
      </c>
      <c r="L64" s="17">
        <v>7628.61</v>
      </c>
      <c r="M64" s="17">
        <v>5.57</v>
      </c>
      <c r="N64" s="17">
        <v>4084.71</v>
      </c>
      <c r="O64" s="17">
        <v>3543.9</v>
      </c>
      <c r="P64" s="18">
        <v>0.46460000000000001</v>
      </c>
      <c r="Q64" s="17">
        <v>493.81</v>
      </c>
      <c r="R64" s="15" t="s">
        <v>40</v>
      </c>
    </row>
    <row r="65" spans="1:18" ht="14.25" customHeight="1" x14ac:dyDescent="0.3">
      <c r="A65" s="14">
        <v>44986</v>
      </c>
      <c r="B65" s="15">
        <v>2023</v>
      </c>
      <c r="C65" s="15" t="s">
        <v>39</v>
      </c>
      <c r="D65" s="15" t="s">
        <v>30</v>
      </c>
      <c r="E65" s="15" t="s">
        <v>31</v>
      </c>
      <c r="F65" s="15" t="s">
        <v>32</v>
      </c>
      <c r="G65" s="15" t="s">
        <v>35</v>
      </c>
      <c r="H65" s="16">
        <v>709</v>
      </c>
      <c r="I65" s="17">
        <v>10.96</v>
      </c>
      <c r="J65" s="18">
        <v>0.14499999999999999</v>
      </c>
      <c r="K65" s="17">
        <v>7772.8</v>
      </c>
      <c r="L65" s="17">
        <v>6645.75</v>
      </c>
      <c r="M65" s="17">
        <v>5.57</v>
      </c>
      <c r="N65" s="17">
        <v>3945.59</v>
      </c>
      <c r="O65" s="17">
        <v>2700.16</v>
      </c>
      <c r="P65" s="18">
        <v>0.40629999999999999</v>
      </c>
      <c r="Q65" s="17">
        <v>305.27</v>
      </c>
      <c r="R65" s="15" t="s">
        <v>40</v>
      </c>
    </row>
    <row r="66" spans="1:18" ht="14.25" customHeight="1" x14ac:dyDescent="0.3">
      <c r="A66" s="14">
        <v>44986</v>
      </c>
      <c r="B66" s="15">
        <v>2023</v>
      </c>
      <c r="C66" s="15" t="s">
        <v>39</v>
      </c>
      <c r="D66" s="15" t="s">
        <v>19</v>
      </c>
      <c r="E66" s="15" t="s">
        <v>20</v>
      </c>
      <c r="F66" s="15" t="s">
        <v>21</v>
      </c>
      <c r="G66" s="15" t="s">
        <v>36</v>
      </c>
      <c r="H66" s="16">
        <v>278</v>
      </c>
      <c r="I66" s="17">
        <v>67.239999999999995</v>
      </c>
      <c r="J66" s="18">
        <v>9.5000000000000001E-2</v>
      </c>
      <c r="K66" s="17">
        <v>18693.03</v>
      </c>
      <c r="L66" s="17">
        <v>16917.189999999999</v>
      </c>
      <c r="M66" s="17">
        <v>14.31</v>
      </c>
      <c r="N66" s="17">
        <v>3978.18</v>
      </c>
      <c r="O66" s="17">
        <v>12939.01</v>
      </c>
      <c r="P66" s="18">
        <v>0.76480000000000004</v>
      </c>
      <c r="Q66" s="17">
        <v>782.43</v>
      </c>
      <c r="R66" s="15" t="s">
        <v>40</v>
      </c>
    </row>
    <row r="67" spans="1:18" ht="14.25" customHeight="1" x14ac:dyDescent="0.3">
      <c r="A67" s="14">
        <v>44986</v>
      </c>
      <c r="B67" s="15">
        <v>2023</v>
      </c>
      <c r="C67" s="15" t="s">
        <v>39</v>
      </c>
      <c r="D67" s="15" t="s">
        <v>24</v>
      </c>
      <c r="E67" s="15" t="s">
        <v>28</v>
      </c>
      <c r="F67" s="15" t="s">
        <v>32</v>
      </c>
      <c r="G67" s="15" t="s">
        <v>36</v>
      </c>
      <c r="H67" s="16">
        <v>177</v>
      </c>
      <c r="I67" s="17">
        <v>67.91</v>
      </c>
      <c r="J67" s="18">
        <v>0.05</v>
      </c>
      <c r="K67" s="17">
        <v>12019.88</v>
      </c>
      <c r="L67" s="17">
        <v>11418.88</v>
      </c>
      <c r="M67" s="17">
        <v>14.31</v>
      </c>
      <c r="N67" s="17">
        <v>2532.87</v>
      </c>
      <c r="O67" s="17">
        <v>8886.01</v>
      </c>
      <c r="P67" s="18">
        <v>0.7782</v>
      </c>
      <c r="Q67" s="17">
        <v>572</v>
      </c>
      <c r="R67" s="15" t="s">
        <v>40</v>
      </c>
    </row>
    <row r="68" spans="1:18" ht="14.25" customHeight="1" x14ac:dyDescent="0.3">
      <c r="A68" s="14">
        <v>44986</v>
      </c>
      <c r="B68" s="15">
        <v>2023</v>
      </c>
      <c r="C68" s="15" t="s">
        <v>39</v>
      </c>
      <c r="D68" s="15" t="s">
        <v>27</v>
      </c>
      <c r="E68" s="15" t="s">
        <v>31</v>
      </c>
      <c r="F68" s="15" t="s">
        <v>32</v>
      </c>
      <c r="G68" s="15" t="s">
        <v>36</v>
      </c>
      <c r="H68" s="16">
        <v>396</v>
      </c>
      <c r="I68" s="17">
        <v>68.59</v>
      </c>
      <c r="J68" s="18">
        <v>0.13</v>
      </c>
      <c r="K68" s="17">
        <v>27162.67</v>
      </c>
      <c r="L68" s="17">
        <v>23631.53</v>
      </c>
      <c r="M68" s="17">
        <v>14.31</v>
      </c>
      <c r="N68" s="17">
        <v>5666.76</v>
      </c>
      <c r="O68" s="17">
        <v>17964.77</v>
      </c>
      <c r="P68" s="18">
        <v>0.76019999999999999</v>
      </c>
      <c r="Q68" s="17">
        <v>561.99</v>
      </c>
      <c r="R68" s="15" t="s">
        <v>40</v>
      </c>
    </row>
    <row r="69" spans="1:18" ht="14.25" customHeight="1" x14ac:dyDescent="0.3">
      <c r="A69" s="14">
        <v>44986</v>
      </c>
      <c r="B69" s="15">
        <v>2023</v>
      </c>
      <c r="C69" s="15" t="s">
        <v>39</v>
      </c>
      <c r="D69" s="15" t="s">
        <v>30</v>
      </c>
      <c r="E69" s="15" t="s">
        <v>20</v>
      </c>
      <c r="F69" s="15" t="s">
        <v>26</v>
      </c>
      <c r="G69" s="15" t="s">
        <v>36</v>
      </c>
      <c r="H69" s="16">
        <v>197</v>
      </c>
      <c r="I69" s="17">
        <v>66.56</v>
      </c>
      <c r="J69" s="18">
        <v>9.5000000000000001E-2</v>
      </c>
      <c r="K69" s="17">
        <v>13111.81</v>
      </c>
      <c r="L69" s="17">
        <v>11866.19</v>
      </c>
      <c r="M69" s="17">
        <v>14.31</v>
      </c>
      <c r="N69" s="17">
        <v>2819.07</v>
      </c>
      <c r="O69" s="17">
        <v>9047.1200000000008</v>
      </c>
      <c r="P69" s="18">
        <v>0.76239999999999997</v>
      </c>
      <c r="Q69" s="17">
        <v>669.99</v>
      </c>
      <c r="R69" s="15" t="s">
        <v>40</v>
      </c>
    </row>
    <row r="70" spans="1:18" ht="14.25" customHeight="1" x14ac:dyDescent="0.3">
      <c r="A70" s="14">
        <v>44986</v>
      </c>
      <c r="B70" s="15">
        <v>2023</v>
      </c>
      <c r="C70" s="15" t="s">
        <v>39</v>
      </c>
      <c r="D70" s="15" t="s">
        <v>19</v>
      </c>
      <c r="E70" s="15" t="s">
        <v>25</v>
      </c>
      <c r="F70" s="15" t="s">
        <v>26</v>
      </c>
      <c r="G70" s="15" t="s">
        <v>37</v>
      </c>
      <c r="H70" s="16">
        <v>186</v>
      </c>
      <c r="I70" s="17">
        <v>51.42</v>
      </c>
      <c r="J70" s="18">
        <v>6.5000000000000002E-2</v>
      </c>
      <c r="K70" s="17">
        <v>9564.23</v>
      </c>
      <c r="L70" s="17">
        <v>8942.56</v>
      </c>
      <c r="M70" s="17">
        <v>7.16</v>
      </c>
      <c r="N70" s="17">
        <v>1330.83</v>
      </c>
      <c r="O70" s="17">
        <v>7611.73</v>
      </c>
      <c r="P70" s="18">
        <v>0.85119999999999996</v>
      </c>
      <c r="Q70" s="17">
        <v>405.78</v>
      </c>
      <c r="R70" s="15" t="s">
        <v>40</v>
      </c>
    </row>
    <row r="71" spans="1:18" ht="14.25" customHeight="1" x14ac:dyDescent="0.3">
      <c r="A71" s="14">
        <v>44986</v>
      </c>
      <c r="B71" s="15">
        <v>2023</v>
      </c>
      <c r="C71" s="15" t="s">
        <v>39</v>
      </c>
      <c r="D71" s="15" t="s">
        <v>24</v>
      </c>
      <c r="E71" s="15" t="s">
        <v>28</v>
      </c>
      <c r="F71" s="15" t="s">
        <v>29</v>
      </c>
      <c r="G71" s="15" t="s">
        <v>37</v>
      </c>
      <c r="H71" s="16">
        <v>168</v>
      </c>
      <c r="I71" s="17">
        <v>51.93</v>
      </c>
      <c r="J71" s="18">
        <v>0.05</v>
      </c>
      <c r="K71" s="17">
        <v>8724.14</v>
      </c>
      <c r="L71" s="17">
        <v>8287.93</v>
      </c>
      <c r="M71" s="17">
        <v>7.16</v>
      </c>
      <c r="N71" s="17">
        <v>1202.04</v>
      </c>
      <c r="O71" s="17">
        <v>7085.89</v>
      </c>
      <c r="P71" s="18">
        <v>0.85499999999999998</v>
      </c>
      <c r="Q71" s="17">
        <v>354.05</v>
      </c>
      <c r="R71" s="15" t="s">
        <v>40</v>
      </c>
    </row>
    <row r="72" spans="1:18" ht="14.25" customHeight="1" x14ac:dyDescent="0.3">
      <c r="A72" s="14">
        <v>44986</v>
      </c>
      <c r="B72" s="15">
        <v>2023</v>
      </c>
      <c r="C72" s="15" t="s">
        <v>39</v>
      </c>
      <c r="D72" s="15" t="s">
        <v>27</v>
      </c>
      <c r="E72" s="15" t="s">
        <v>20</v>
      </c>
      <c r="F72" s="15" t="s">
        <v>26</v>
      </c>
      <c r="G72" s="15" t="s">
        <v>37</v>
      </c>
      <c r="H72" s="16">
        <v>284</v>
      </c>
      <c r="I72" s="17">
        <v>52.45</v>
      </c>
      <c r="J72" s="18">
        <v>9.5000000000000001E-2</v>
      </c>
      <c r="K72" s="17">
        <v>14894.71</v>
      </c>
      <c r="L72" s="17">
        <v>13479.71</v>
      </c>
      <c r="M72" s="17">
        <v>7.16</v>
      </c>
      <c r="N72" s="17">
        <v>2032.02</v>
      </c>
      <c r="O72" s="17">
        <v>11447.69</v>
      </c>
      <c r="P72" s="18">
        <v>0.84930000000000005</v>
      </c>
      <c r="Q72" s="17">
        <v>527.42999999999995</v>
      </c>
      <c r="R72" s="15" t="s">
        <v>40</v>
      </c>
    </row>
    <row r="73" spans="1:18" ht="14.25" customHeight="1" x14ac:dyDescent="0.3">
      <c r="A73" s="14">
        <v>44986</v>
      </c>
      <c r="B73" s="15">
        <v>2023</v>
      </c>
      <c r="C73" s="15" t="s">
        <v>39</v>
      </c>
      <c r="D73" s="15" t="s">
        <v>30</v>
      </c>
      <c r="E73" s="15" t="s">
        <v>25</v>
      </c>
      <c r="F73" s="15" t="s">
        <v>21</v>
      </c>
      <c r="G73" s="15" t="s">
        <v>37</v>
      </c>
      <c r="H73" s="16">
        <v>149</v>
      </c>
      <c r="I73" s="17">
        <v>50.9</v>
      </c>
      <c r="J73" s="18">
        <v>6.5000000000000002E-2</v>
      </c>
      <c r="K73" s="17">
        <v>7583.49</v>
      </c>
      <c r="L73" s="17">
        <v>7090.57</v>
      </c>
      <c r="M73" s="17">
        <v>7.16</v>
      </c>
      <c r="N73" s="17">
        <v>1066.0999999999999</v>
      </c>
      <c r="O73" s="17">
        <v>6024.47</v>
      </c>
      <c r="P73" s="18">
        <v>0.84960000000000002</v>
      </c>
      <c r="Q73" s="17">
        <v>360.22</v>
      </c>
      <c r="R73" s="15" t="s">
        <v>40</v>
      </c>
    </row>
    <row r="74" spans="1:18" ht="14.25" customHeight="1" x14ac:dyDescent="0.3">
      <c r="A74" s="14">
        <v>45017</v>
      </c>
      <c r="B74" s="15">
        <v>2023</v>
      </c>
      <c r="C74" s="15" t="s">
        <v>41</v>
      </c>
      <c r="D74" s="15" t="s">
        <v>19</v>
      </c>
      <c r="E74" s="15" t="s">
        <v>31</v>
      </c>
      <c r="F74" s="15" t="s">
        <v>32</v>
      </c>
      <c r="G74" s="15" t="s">
        <v>22</v>
      </c>
      <c r="H74" s="16">
        <v>141</v>
      </c>
      <c r="I74" s="17">
        <v>490.44</v>
      </c>
      <c r="J74" s="18">
        <v>0.12</v>
      </c>
      <c r="K74" s="17">
        <v>69151.41</v>
      </c>
      <c r="L74" s="17">
        <v>60853.24</v>
      </c>
      <c r="M74" s="17">
        <v>369.68</v>
      </c>
      <c r="N74" s="17">
        <v>52124.18</v>
      </c>
      <c r="O74" s="17">
        <v>8729.06</v>
      </c>
      <c r="P74" s="18">
        <v>0.1434</v>
      </c>
      <c r="Q74" s="17">
        <v>668.42</v>
      </c>
      <c r="R74" s="15" t="s">
        <v>23</v>
      </c>
    </row>
    <row r="75" spans="1:18" ht="14.25" customHeight="1" x14ac:dyDescent="0.3">
      <c r="A75" s="14">
        <v>45017</v>
      </c>
      <c r="B75" s="15">
        <v>2023</v>
      </c>
      <c r="C75" s="15" t="s">
        <v>41</v>
      </c>
      <c r="D75" s="15" t="s">
        <v>24</v>
      </c>
      <c r="E75" s="15" t="s">
        <v>20</v>
      </c>
      <c r="F75" s="15" t="s">
        <v>21</v>
      </c>
      <c r="G75" s="15" t="s">
        <v>22</v>
      </c>
      <c r="H75" s="16">
        <v>142</v>
      </c>
      <c r="I75" s="17">
        <v>495.36</v>
      </c>
      <c r="J75" s="18">
        <v>8.5000000000000006E-2</v>
      </c>
      <c r="K75" s="17">
        <v>70341.759999999995</v>
      </c>
      <c r="L75" s="17">
        <v>64362.71</v>
      </c>
      <c r="M75" s="17">
        <v>369.68</v>
      </c>
      <c r="N75" s="17">
        <v>52493.85</v>
      </c>
      <c r="O75" s="17">
        <v>11868.86</v>
      </c>
      <c r="P75" s="18">
        <v>0.18440000000000001</v>
      </c>
      <c r="Q75" s="17">
        <v>1183.97</v>
      </c>
      <c r="R75" s="15" t="s">
        <v>23</v>
      </c>
    </row>
    <row r="76" spans="1:18" ht="14.25" customHeight="1" x14ac:dyDescent="0.3">
      <c r="A76" s="14">
        <v>45017</v>
      </c>
      <c r="B76" s="15">
        <v>2023</v>
      </c>
      <c r="C76" s="15" t="s">
        <v>41</v>
      </c>
      <c r="D76" s="15" t="s">
        <v>27</v>
      </c>
      <c r="E76" s="15" t="s">
        <v>25</v>
      </c>
      <c r="F76" s="15" t="s">
        <v>26</v>
      </c>
      <c r="G76" s="15" t="s">
        <v>22</v>
      </c>
      <c r="H76" s="16">
        <v>121</v>
      </c>
      <c r="I76" s="17">
        <v>500.29</v>
      </c>
      <c r="J76" s="18">
        <v>5.5E-2</v>
      </c>
      <c r="K76" s="17">
        <v>60535.51</v>
      </c>
      <c r="L76" s="17">
        <v>57206.06</v>
      </c>
      <c r="M76" s="17">
        <v>369.68</v>
      </c>
      <c r="N76" s="17">
        <v>44730.68</v>
      </c>
      <c r="O76" s="17">
        <v>12475.39</v>
      </c>
      <c r="P76" s="18">
        <v>0.21809999999999999</v>
      </c>
      <c r="Q76" s="17">
        <v>1006.34</v>
      </c>
      <c r="R76" s="15" t="s">
        <v>23</v>
      </c>
    </row>
    <row r="77" spans="1:18" ht="14.25" customHeight="1" x14ac:dyDescent="0.3">
      <c r="A77" s="14">
        <v>45017</v>
      </c>
      <c r="B77" s="15">
        <v>2023</v>
      </c>
      <c r="C77" s="15" t="s">
        <v>41</v>
      </c>
      <c r="D77" s="15" t="s">
        <v>30</v>
      </c>
      <c r="E77" s="15" t="s">
        <v>28</v>
      </c>
      <c r="F77" s="15" t="s">
        <v>29</v>
      </c>
      <c r="G77" s="15" t="s">
        <v>22</v>
      </c>
      <c r="H77" s="16">
        <v>61</v>
      </c>
      <c r="I77" s="17">
        <v>485.51</v>
      </c>
      <c r="J77" s="18">
        <v>0.04</v>
      </c>
      <c r="K77" s="17">
        <v>29615.9</v>
      </c>
      <c r="L77" s="17">
        <v>28431.26</v>
      </c>
      <c r="M77" s="17">
        <v>369.68</v>
      </c>
      <c r="N77" s="17">
        <v>22550.18</v>
      </c>
      <c r="O77" s="17">
        <v>5881.08</v>
      </c>
      <c r="P77" s="18">
        <v>0.2069</v>
      </c>
      <c r="Q77" s="17">
        <v>690.55</v>
      </c>
      <c r="R77" s="15" t="s">
        <v>23</v>
      </c>
    </row>
    <row r="78" spans="1:18" ht="14.25" customHeight="1" x14ac:dyDescent="0.3">
      <c r="A78" s="14">
        <v>45017</v>
      </c>
      <c r="B78" s="15">
        <v>2023</v>
      </c>
      <c r="C78" s="15" t="s">
        <v>41</v>
      </c>
      <c r="D78" s="15" t="s">
        <v>19</v>
      </c>
      <c r="E78" s="15" t="s">
        <v>20</v>
      </c>
      <c r="F78" s="15" t="s">
        <v>21</v>
      </c>
      <c r="G78" s="15" t="s">
        <v>33</v>
      </c>
      <c r="H78" s="16">
        <v>93</v>
      </c>
      <c r="I78" s="17">
        <v>696.1</v>
      </c>
      <c r="J78" s="18">
        <v>8.5000000000000006E-2</v>
      </c>
      <c r="K78" s="17">
        <v>64737.49</v>
      </c>
      <c r="L78" s="17">
        <v>59234.8</v>
      </c>
      <c r="M78" s="17">
        <v>548.54999999999995</v>
      </c>
      <c r="N78" s="17">
        <v>51015.15</v>
      </c>
      <c r="O78" s="17">
        <v>8219.65</v>
      </c>
      <c r="P78" s="18">
        <v>0.13880000000000001</v>
      </c>
      <c r="Q78" s="17">
        <v>1077.98</v>
      </c>
      <c r="R78" s="15" t="s">
        <v>23</v>
      </c>
    </row>
    <row r="79" spans="1:18" ht="14.25" customHeight="1" x14ac:dyDescent="0.3">
      <c r="A79" s="14">
        <v>45017</v>
      </c>
      <c r="B79" s="15">
        <v>2023</v>
      </c>
      <c r="C79" s="15" t="s">
        <v>41</v>
      </c>
      <c r="D79" s="15" t="s">
        <v>24</v>
      </c>
      <c r="E79" s="15" t="s">
        <v>25</v>
      </c>
      <c r="F79" s="15" t="s">
        <v>26</v>
      </c>
      <c r="G79" s="15" t="s">
        <v>33</v>
      </c>
      <c r="H79" s="16">
        <v>80</v>
      </c>
      <c r="I79" s="17">
        <v>703.1</v>
      </c>
      <c r="J79" s="18">
        <v>5.5E-2</v>
      </c>
      <c r="K79" s="17">
        <v>56247.839999999997</v>
      </c>
      <c r="L79" s="17">
        <v>53154.21</v>
      </c>
      <c r="M79" s="17">
        <v>548.54999999999995</v>
      </c>
      <c r="N79" s="17">
        <v>43884</v>
      </c>
      <c r="O79" s="17">
        <v>9270.2099999999991</v>
      </c>
      <c r="P79" s="18">
        <v>0.1744</v>
      </c>
      <c r="Q79" s="17">
        <v>963.55</v>
      </c>
      <c r="R79" s="15" t="s">
        <v>23</v>
      </c>
    </row>
    <row r="80" spans="1:18" ht="14.25" customHeight="1" x14ac:dyDescent="0.3">
      <c r="A80" s="14">
        <v>45017</v>
      </c>
      <c r="B80" s="15">
        <v>2023</v>
      </c>
      <c r="C80" s="15" t="s">
        <v>41</v>
      </c>
      <c r="D80" s="15" t="s">
        <v>27</v>
      </c>
      <c r="E80" s="15" t="s">
        <v>28</v>
      </c>
      <c r="F80" s="15" t="s">
        <v>29</v>
      </c>
      <c r="G80" s="15" t="s">
        <v>33</v>
      </c>
      <c r="H80" s="16">
        <v>63</v>
      </c>
      <c r="I80" s="17">
        <v>710.09</v>
      </c>
      <c r="J80" s="18">
        <v>0.04</v>
      </c>
      <c r="K80" s="17">
        <v>44735.92</v>
      </c>
      <c r="L80" s="17">
        <v>42946.49</v>
      </c>
      <c r="M80" s="17">
        <v>548.54999999999995</v>
      </c>
      <c r="N80" s="17">
        <v>34558.65</v>
      </c>
      <c r="O80" s="17">
        <v>8387.84</v>
      </c>
      <c r="P80" s="18">
        <v>0.1953</v>
      </c>
      <c r="Q80" s="17">
        <v>874.61</v>
      </c>
      <c r="R80" s="15" t="s">
        <v>23</v>
      </c>
    </row>
    <row r="81" spans="1:18" ht="14.25" customHeight="1" x14ac:dyDescent="0.3">
      <c r="A81" s="14">
        <v>45017</v>
      </c>
      <c r="B81" s="15">
        <v>2023</v>
      </c>
      <c r="C81" s="15" t="s">
        <v>41</v>
      </c>
      <c r="D81" s="15" t="s">
        <v>30</v>
      </c>
      <c r="E81" s="15" t="s">
        <v>31</v>
      </c>
      <c r="F81" s="15" t="s">
        <v>32</v>
      </c>
      <c r="G81" s="15" t="s">
        <v>33</v>
      </c>
      <c r="H81" s="16">
        <v>78</v>
      </c>
      <c r="I81" s="17">
        <v>689.11</v>
      </c>
      <c r="J81" s="18">
        <v>0.12</v>
      </c>
      <c r="K81" s="17">
        <v>53750.27</v>
      </c>
      <c r="L81" s="17">
        <v>47300.23</v>
      </c>
      <c r="M81" s="17">
        <v>548.54999999999995</v>
      </c>
      <c r="N81" s="17">
        <v>42786.9</v>
      </c>
      <c r="O81" s="17">
        <v>4513.33</v>
      </c>
      <c r="P81" s="18">
        <v>9.5399999999999999E-2</v>
      </c>
      <c r="Q81" s="17">
        <v>588.62</v>
      </c>
      <c r="R81" s="15" t="s">
        <v>23</v>
      </c>
    </row>
    <row r="82" spans="1:18" ht="14.25" customHeight="1" x14ac:dyDescent="0.3">
      <c r="A82" s="14">
        <v>45017</v>
      </c>
      <c r="B82" s="15">
        <v>2023</v>
      </c>
      <c r="C82" s="15" t="s">
        <v>41</v>
      </c>
      <c r="D82" s="15" t="s">
        <v>19</v>
      </c>
      <c r="E82" s="15" t="s">
        <v>31</v>
      </c>
      <c r="F82" s="15" t="s">
        <v>32</v>
      </c>
      <c r="G82" s="15" t="s">
        <v>34</v>
      </c>
      <c r="H82" s="16">
        <v>185</v>
      </c>
      <c r="I82" s="17">
        <v>221.49</v>
      </c>
      <c r="J82" s="18">
        <v>0.12</v>
      </c>
      <c r="K82" s="17">
        <v>40975.1</v>
      </c>
      <c r="L82" s="17">
        <v>36058.080000000002</v>
      </c>
      <c r="M82" s="17">
        <v>151.05000000000001</v>
      </c>
      <c r="N82" s="17">
        <v>27944.25</v>
      </c>
      <c r="O82" s="17">
        <v>8113.83</v>
      </c>
      <c r="P82" s="18">
        <v>0.22500000000000001</v>
      </c>
      <c r="Q82" s="17">
        <v>486.52</v>
      </c>
      <c r="R82" s="15" t="s">
        <v>23</v>
      </c>
    </row>
    <row r="83" spans="1:18" ht="14.25" customHeight="1" x14ac:dyDescent="0.3">
      <c r="A83" s="14">
        <v>45017</v>
      </c>
      <c r="B83" s="15">
        <v>2023</v>
      </c>
      <c r="C83" s="15" t="s">
        <v>41</v>
      </c>
      <c r="D83" s="15" t="s">
        <v>24</v>
      </c>
      <c r="E83" s="15" t="s">
        <v>20</v>
      </c>
      <c r="F83" s="15" t="s">
        <v>21</v>
      </c>
      <c r="G83" s="15" t="s">
        <v>34</v>
      </c>
      <c r="H83" s="16">
        <v>187</v>
      </c>
      <c r="I83" s="17">
        <v>223.71</v>
      </c>
      <c r="J83" s="18">
        <v>8.5000000000000006E-2</v>
      </c>
      <c r="K83" s="17">
        <v>41834.33</v>
      </c>
      <c r="L83" s="17">
        <v>38278.42</v>
      </c>
      <c r="M83" s="17">
        <v>151.05000000000001</v>
      </c>
      <c r="N83" s="17">
        <v>28246.35</v>
      </c>
      <c r="O83" s="17">
        <v>10032.07</v>
      </c>
      <c r="P83" s="18">
        <v>0.2621</v>
      </c>
      <c r="Q83" s="17">
        <v>844.65</v>
      </c>
      <c r="R83" s="15" t="s">
        <v>23</v>
      </c>
    </row>
    <row r="84" spans="1:18" ht="14.25" customHeight="1" x14ac:dyDescent="0.3">
      <c r="A84" s="14">
        <v>45017</v>
      </c>
      <c r="B84" s="15">
        <v>2023</v>
      </c>
      <c r="C84" s="15" t="s">
        <v>41</v>
      </c>
      <c r="D84" s="15" t="s">
        <v>27</v>
      </c>
      <c r="E84" s="15" t="s">
        <v>25</v>
      </c>
      <c r="F84" s="15" t="s">
        <v>26</v>
      </c>
      <c r="G84" s="15" t="s">
        <v>34</v>
      </c>
      <c r="H84" s="16">
        <v>180</v>
      </c>
      <c r="I84" s="17">
        <v>225.94</v>
      </c>
      <c r="J84" s="18">
        <v>5.5E-2</v>
      </c>
      <c r="K84" s="17">
        <v>40669.019999999997</v>
      </c>
      <c r="L84" s="17">
        <v>38432.22</v>
      </c>
      <c r="M84" s="17">
        <v>151.05000000000001</v>
      </c>
      <c r="N84" s="17">
        <v>27189</v>
      </c>
      <c r="O84" s="17">
        <v>11243.22</v>
      </c>
      <c r="P84" s="18">
        <v>0.29249999999999998</v>
      </c>
      <c r="Q84" s="17">
        <v>694.31</v>
      </c>
      <c r="R84" s="15" t="s">
        <v>23</v>
      </c>
    </row>
    <row r="85" spans="1:18" ht="14.25" customHeight="1" x14ac:dyDescent="0.3">
      <c r="A85" s="14">
        <v>45017</v>
      </c>
      <c r="B85" s="15">
        <v>2023</v>
      </c>
      <c r="C85" s="15" t="s">
        <v>41</v>
      </c>
      <c r="D85" s="15" t="s">
        <v>30</v>
      </c>
      <c r="E85" s="15" t="s">
        <v>31</v>
      </c>
      <c r="F85" s="15" t="s">
        <v>32</v>
      </c>
      <c r="G85" s="15" t="s">
        <v>34</v>
      </c>
      <c r="H85" s="16">
        <v>148</v>
      </c>
      <c r="I85" s="17">
        <v>219.26</v>
      </c>
      <c r="J85" s="18">
        <v>0.12</v>
      </c>
      <c r="K85" s="17">
        <v>32450.63</v>
      </c>
      <c r="L85" s="17">
        <v>28556.55</v>
      </c>
      <c r="M85" s="17">
        <v>151.05000000000001</v>
      </c>
      <c r="N85" s="17">
        <v>22355.4</v>
      </c>
      <c r="O85" s="17">
        <v>6201.15</v>
      </c>
      <c r="P85" s="18">
        <v>0.2172</v>
      </c>
      <c r="Q85" s="17">
        <v>429.42</v>
      </c>
      <c r="R85" s="15" t="s">
        <v>23</v>
      </c>
    </row>
    <row r="86" spans="1:18" ht="14.25" customHeight="1" x14ac:dyDescent="0.3">
      <c r="A86" s="14">
        <v>45017</v>
      </c>
      <c r="B86" s="15">
        <v>2023</v>
      </c>
      <c r="C86" s="15" t="s">
        <v>41</v>
      </c>
      <c r="D86" s="15" t="s">
        <v>19</v>
      </c>
      <c r="E86" s="15" t="s">
        <v>20</v>
      </c>
      <c r="F86" s="15" t="s">
        <v>21</v>
      </c>
      <c r="G86" s="15" t="s">
        <v>35</v>
      </c>
      <c r="H86" s="16">
        <v>673</v>
      </c>
      <c r="I86" s="17">
        <v>11.07</v>
      </c>
      <c r="J86" s="18">
        <v>8.5000000000000006E-2</v>
      </c>
      <c r="K86" s="17">
        <v>7453.04</v>
      </c>
      <c r="L86" s="17">
        <v>6819.53</v>
      </c>
      <c r="M86" s="17">
        <v>5.57</v>
      </c>
      <c r="N86" s="17">
        <v>3745.25</v>
      </c>
      <c r="O86" s="17">
        <v>3074.28</v>
      </c>
      <c r="P86" s="18">
        <v>0.45079999999999998</v>
      </c>
      <c r="Q86" s="17">
        <v>348.27</v>
      </c>
      <c r="R86" s="15" t="s">
        <v>23</v>
      </c>
    </row>
    <row r="87" spans="1:18" ht="14.25" customHeight="1" x14ac:dyDescent="0.3">
      <c r="A87" s="14">
        <v>45017</v>
      </c>
      <c r="B87" s="15">
        <v>2023</v>
      </c>
      <c r="C87" s="15" t="s">
        <v>41</v>
      </c>
      <c r="D87" s="15" t="s">
        <v>24</v>
      </c>
      <c r="E87" s="15" t="s">
        <v>25</v>
      </c>
      <c r="F87" s="15" t="s">
        <v>26</v>
      </c>
      <c r="G87" s="15" t="s">
        <v>35</v>
      </c>
      <c r="H87" s="16">
        <v>658</v>
      </c>
      <c r="I87" s="17">
        <v>11.19</v>
      </c>
      <c r="J87" s="18">
        <v>5.5E-2</v>
      </c>
      <c r="K87" s="17">
        <v>7360.16</v>
      </c>
      <c r="L87" s="17">
        <v>6955.35</v>
      </c>
      <c r="M87" s="17">
        <v>5.57</v>
      </c>
      <c r="N87" s="17">
        <v>3661.77</v>
      </c>
      <c r="O87" s="17">
        <v>3293.58</v>
      </c>
      <c r="P87" s="18">
        <v>0.47349999999999998</v>
      </c>
      <c r="Q87" s="17">
        <v>330.28</v>
      </c>
      <c r="R87" s="15" t="s">
        <v>23</v>
      </c>
    </row>
    <row r="88" spans="1:18" ht="14.25" customHeight="1" x14ac:dyDescent="0.3">
      <c r="A88" s="14">
        <v>45017</v>
      </c>
      <c r="B88" s="15">
        <v>2023</v>
      </c>
      <c r="C88" s="15" t="s">
        <v>41</v>
      </c>
      <c r="D88" s="15" t="s">
        <v>27</v>
      </c>
      <c r="E88" s="15" t="s">
        <v>31</v>
      </c>
      <c r="F88" s="15" t="s">
        <v>32</v>
      </c>
      <c r="G88" s="15" t="s">
        <v>35</v>
      </c>
      <c r="H88" s="16">
        <v>915</v>
      </c>
      <c r="I88" s="17">
        <v>11.3</v>
      </c>
      <c r="J88" s="18">
        <v>0.12</v>
      </c>
      <c r="K88" s="17">
        <v>10336.709999999999</v>
      </c>
      <c r="L88" s="17">
        <v>9096.2999999999993</v>
      </c>
      <c r="M88" s="17">
        <v>5.57</v>
      </c>
      <c r="N88" s="17">
        <v>5091.9799999999996</v>
      </c>
      <c r="O88" s="17">
        <v>4004.33</v>
      </c>
      <c r="P88" s="18">
        <v>0.44019999999999998</v>
      </c>
      <c r="Q88" s="17">
        <v>261.25</v>
      </c>
      <c r="R88" s="15" t="s">
        <v>23</v>
      </c>
    </row>
    <row r="89" spans="1:18" ht="14.25" customHeight="1" x14ac:dyDescent="0.3">
      <c r="A89" s="14">
        <v>45017</v>
      </c>
      <c r="B89" s="15">
        <v>2023</v>
      </c>
      <c r="C89" s="15" t="s">
        <v>41</v>
      </c>
      <c r="D89" s="15" t="s">
        <v>30</v>
      </c>
      <c r="E89" s="15" t="s">
        <v>20</v>
      </c>
      <c r="F89" s="15" t="s">
        <v>26</v>
      </c>
      <c r="G89" s="15" t="s">
        <v>35</v>
      </c>
      <c r="H89" s="16">
        <v>564</v>
      </c>
      <c r="I89" s="17">
        <v>10.96</v>
      </c>
      <c r="J89" s="18">
        <v>8.5000000000000006E-2</v>
      </c>
      <c r="K89" s="17">
        <v>6183.16</v>
      </c>
      <c r="L89" s="17">
        <v>5657.59</v>
      </c>
      <c r="M89" s="17">
        <v>5.57</v>
      </c>
      <c r="N89" s="17">
        <v>3138.66</v>
      </c>
      <c r="O89" s="17">
        <v>2518.9299999999998</v>
      </c>
      <c r="P89" s="18">
        <v>0.44519999999999998</v>
      </c>
      <c r="Q89" s="17">
        <v>307.94</v>
      </c>
      <c r="R89" s="15" t="s">
        <v>23</v>
      </c>
    </row>
    <row r="90" spans="1:18" ht="14.25" customHeight="1" x14ac:dyDescent="0.3">
      <c r="A90" s="14">
        <v>45017</v>
      </c>
      <c r="B90" s="15">
        <v>2023</v>
      </c>
      <c r="C90" s="15" t="s">
        <v>41</v>
      </c>
      <c r="D90" s="15" t="s">
        <v>19</v>
      </c>
      <c r="E90" s="15" t="s">
        <v>28</v>
      </c>
      <c r="F90" s="15" t="s">
        <v>32</v>
      </c>
      <c r="G90" s="15" t="s">
        <v>36</v>
      </c>
      <c r="H90" s="16">
        <v>119</v>
      </c>
      <c r="I90" s="17">
        <v>67.239999999999995</v>
      </c>
      <c r="J90" s="18">
        <v>2.5000000000000001E-2</v>
      </c>
      <c r="K90" s="17">
        <v>8001.69</v>
      </c>
      <c r="L90" s="17">
        <v>7801.65</v>
      </c>
      <c r="M90" s="17">
        <v>14.31</v>
      </c>
      <c r="N90" s="17">
        <v>1702.89</v>
      </c>
      <c r="O90" s="17">
        <v>6098.76</v>
      </c>
      <c r="P90" s="18">
        <v>0.78169999999999995</v>
      </c>
      <c r="Q90" s="17">
        <v>371.29</v>
      </c>
      <c r="R90" s="15" t="s">
        <v>23</v>
      </c>
    </row>
    <row r="91" spans="1:18" ht="14.25" customHeight="1" x14ac:dyDescent="0.3">
      <c r="A91" s="14">
        <v>45017</v>
      </c>
      <c r="B91" s="15">
        <v>2023</v>
      </c>
      <c r="C91" s="15" t="s">
        <v>41</v>
      </c>
      <c r="D91" s="15" t="s">
        <v>24</v>
      </c>
      <c r="E91" s="15" t="s">
        <v>31</v>
      </c>
      <c r="F91" s="15" t="s">
        <v>32</v>
      </c>
      <c r="G91" s="15" t="s">
        <v>36</v>
      </c>
      <c r="H91" s="16">
        <v>261</v>
      </c>
      <c r="I91" s="17">
        <v>67.91</v>
      </c>
      <c r="J91" s="18">
        <v>0.105</v>
      </c>
      <c r="K91" s="17">
        <v>17724.22</v>
      </c>
      <c r="L91" s="17">
        <v>15863.18</v>
      </c>
      <c r="M91" s="17">
        <v>14.31</v>
      </c>
      <c r="N91" s="17">
        <v>3734.91</v>
      </c>
      <c r="O91" s="17">
        <v>12128.27</v>
      </c>
      <c r="P91" s="18">
        <v>0.76459999999999995</v>
      </c>
      <c r="Q91" s="17">
        <v>354.84</v>
      </c>
      <c r="R91" s="15" t="s">
        <v>23</v>
      </c>
    </row>
    <row r="92" spans="1:18" ht="14.25" customHeight="1" x14ac:dyDescent="0.3">
      <c r="A92" s="14">
        <v>45017</v>
      </c>
      <c r="B92" s="15">
        <v>2023</v>
      </c>
      <c r="C92" s="15" t="s">
        <v>41</v>
      </c>
      <c r="D92" s="15" t="s">
        <v>27</v>
      </c>
      <c r="E92" s="15" t="s">
        <v>20</v>
      </c>
      <c r="F92" s="15" t="s">
        <v>26</v>
      </c>
      <c r="G92" s="15" t="s">
        <v>36</v>
      </c>
      <c r="H92" s="16">
        <v>266</v>
      </c>
      <c r="I92" s="17">
        <v>68.59</v>
      </c>
      <c r="J92" s="18">
        <v>7.0000000000000007E-2</v>
      </c>
      <c r="K92" s="17">
        <v>18245.63</v>
      </c>
      <c r="L92" s="17">
        <v>16968.439999999999</v>
      </c>
      <c r="M92" s="17">
        <v>14.31</v>
      </c>
      <c r="N92" s="17">
        <v>3806.46</v>
      </c>
      <c r="O92" s="17">
        <v>13161.98</v>
      </c>
      <c r="P92" s="18">
        <v>0.77569999999999995</v>
      </c>
      <c r="Q92" s="17">
        <v>588.54999999999995</v>
      </c>
      <c r="R92" s="15" t="s">
        <v>23</v>
      </c>
    </row>
    <row r="93" spans="1:18" ht="14.25" customHeight="1" x14ac:dyDescent="0.3">
      <c r="A93" s="14">
        <v>45017</v>
      </c>
      <c r="B93" s="15">
        <v>2023</v>
      </c>
      <c r="C93" s="15" t="s">
        <v>41</v>
      </c>
      <c r="D93" s="15" t="s">
        <v>30</v>
      </c>
      <c r="E93" s="15" t="s">
        <v>28</v>
      </c>
      <c r="F93" s="15" t="s">
        <v>29</v>
      </c>
      <c r="G93" s="15" t="s">
        <v>36</v>
      </c>
      <c r="H93" s="16">
        <v>103</v>
      </c>
      <c r="I93" s="17">
        <v>66.56</v>
      </c>
      <c r="J93" s="18">
        <v>2.5000000000000001E-2</v>
      </c>
      <c r="K93" s="17">
        <v>6855.41</v>
      </c>
      <c r="L93" s="17">
        <v>6684.03</v>
      </c>
      <c r="M93" s="17">
        <v>14.31</v>
      </c>
      <c r="N93" s="17">
        <v>1473.93</v>
      </c>
      <c r="O93" s="17">
        <v>5210.1000000000004</v>
      </c>
      <c r="P93" s="18">
        <v>0.77949999999999997</v>
      </c>
      <c r="Q93" s="17">
        <v>317.99</v>
      </c>
      <c r="R93" s="15" t="s">
        <v>23</v>
      </c>
    </row>
    <row r="94" spans="1:18" ht="14.25" customHeight="1" x14ac:dyDescent="0.3">
      <c r="A94" s="14">
        <v>45017</v>
      </c>
      <c r="B94" s="15">
        <v>2023</v>
      </c>
      <c r="C94" s="15" t="s">
        <v>41</v>
      </c>
      <c r="D94" s="15" t="s">
        <v>19</v>
      </c>
      <c r="E94" s="15" t="s">
        <v>28</v>
      </c>
      <c r="F94" s="15" t="s">
        <v>29</v>
      </c>
      <c r="G94" s="15" t="s">
        <v>37</v>
      </c>
      <c r="H94" s="16">
        <v>110</v>
      </c>
      <c r="I94" s="17">
        <v>51.42</v>
      </c>
      <c r="J94" s="18">
        <v>2.5000000000000001E-2</v>
      </c>
      <c r="K94" s="17">
        <v>5656.27</v>
      </c>
      <c r="L94" s="17">
        <v>5514.86</v>
      </c>
      <c r="M94" s="17">
        <v>7.16</v>
      </c>
      <c r="N94" s="17">
        <v>787.05</v>
      </c>
      <c r="O94" s="17">
        <v>4727.8100000000004</v>
      </c>
      <c r="P94" s="18">
        <v>0.85729999999999995</v>
      </c>
      <c r="Q94" s="17">
        <v>226.8</v>
      </c>
      <c r="R94" s="15" t="s">
        <v>23</v>
      </c>
    </row>
    <row r="95" spans="1:18" ht="14.25" customHeight="1" x14ac:dyDescent="0.3">
      <c r="A95" s="14">
        <v>45017</v>
      </c>
      <c r="B95" s="15">
        <v>2023</v>
      </c>
      <c r="C95" s="15" t="s">
        <v>41</v>
      </c>
      <c r="D95" s="15" t="s">
        <v>24</v>
      </c>
      <c r="E95" s="15" t="s">
        <v>20</v>
      </c>
      <c r="F95" s="15" t="s">
        <v>26</v>
      </c>
      <c r="G95" s="15" t="s">
        <v>37</v>
      </c>
      <c r="H95" s="16">
        <v>222</v>
      </c>
      <c r="I95" s="17">
        <v>51.93</v>
      </c>
      <c r="J95" s="18">
        <v>7.0000000000000007E-2</v>
      </c>
      <c r="K95" s="17">
        <v>11528.33</v>
      </c>
      <c r="L95" s="17">
        <v>10721.35</v>
      </c>
      <c r="M95" s="17">
        <v>7.16</v>
      </c>
      <c r="N95" s="17">
        <v>1588.41</v>
      </c>
      <c r="O95" s="17">
        <v>9132.94</v>
      </c>
      <c r="P95" s="18">
        <v>0.8518</v>
      </c>
      <c r="Q95" s="17">
        <v>337.54</v>
      </c>
      <c r="R95" s="15" t="s">
        <v>23</v>
      </c>
    </row>
    <row r="96" spans="1:18" ht="14.25" customHeight="1" x14ac:dyDescent="0.3">
      <c r="A96" s="14">
        <v>45017</v>
      </c>
      <c r="B96" s="15">
        <v>2023</v>
      </c>
      <c r="C96" s="15" t="s">
        <v>41</v>
      </c>
      <c r="D96" s="15" t="s">
        <v>27</v>
      </c>
      <c r="E96" s="15" t="s">
        <v>25</v>
      </c>
      <c r="F96" s="15" t="s">
        <v>21</v>
      </c>
      <c r="G96" s="15" t="s">
        <v>37</v>
      </c>
      <c r="H96" s="16">
        <v>183</v>
      </c>
      <c r="I96" s="17">
        <v>52.45</v>
      </c>
      <c r="J96" s="18">
        <v>0.04</v>
      </c>
      <c r="K96" s="17">
        <v>9597.65</v>
      </c>
      <c r="L96" s="17">
        <v>9213.74</v>
      </c>
      <c r="M96" s="17">
        <v>7.16</v>
      </c>
      <c r="N96" s="17">
        <v>1309.3699999999999</v>
      </c>
      <c r="O96" s="17">
        <v>7904.37</v>
      </c>
      <c r="P96" s="18">
        <v>0.8579</v>
      </c>
      <c r="Q96" s="17">
        <v>301.49</v>
      </c>
      <c r="R96" s="15" t="s">
        <v>23</v>
      </c>
    </row>
    <row r="97" spans="1:18" ht="14.25" customHeight="1" x14ac:dyDescent="0.3">
      <c r="A97" s="14">
        <v>45017</v>
      </c>
      <c r="B97" s="15">
        <v>2023</v>
      </c>
      <c r="C97" s="15" t="s">
        <v>41</v>
      </c>
      <c r="D97" s="15" t="s">
        <v>30</v>
      </c>
      <c r="E97" s="15" t="s">
        <v>28</v>
      </c>
      <c r="F97" s="15" t="s">
        <v>32</v>
      </c>
      <c r="G97" s="15" t="s">
        <v>37</v>
      </c>
      <c r="H97" s="16">
        <v>86</v>
      </c>
      <c r="I97" s="17">
        <v>50.9</v>
      </c>
      <c r="J97" s="18">
        <v>2.5000000000000001E-2</v>
      </c>
      <c r="K97" s="17">
        <v>4377.05</v>
      </c>
      <c r="L97" s="17">
        <v>4267.62</v>
      </c>
      <c r="M97" s="17">
        <v>7.16</v>
      </c>
      <c r="N97" s="17">
        <v>615.33000000000004</v>
      </c>
      <c r="O97" s="17">
        <v>3652.29</v>
      </c>
      <c r="P97" s="18">
        <v>0.85580000000000001</v>
      </c>
      <c r="Q97" s="17">
        <v>198.6</v>
      </c>
      <c r="R97" s="15" t="s">
        <v>23</v>
      </c>
    </row>
    <row r="98" spans="1:18" ht="14.25" customHeight="1" x14ac:dyDescent="0.3">
      <c r="A98" s="14">
        <v>45047</v>
      </c>
      <c r="B98" s="15">
        <v>2023</v>
      </c>
      <c r="C98" s="15" t="s">
        <v>42</v>
      </c>
      <c r="D98" s="15" t="s">
        <v>19</v>
      </c>
      <c r="E98" s="15" t="s">
        <v>20</v>
      </c>
      <c r="F98" s="15" t="s">
        <v>21</v>
      </c>
      <c r="G98" s="15" t="s">
        <v>22</v>
      </c>
      <c r="H98" s="16">
        <v>131</v>
      </c>
      <c r="I98" s="17">
        <v>490.44</v>
      </c>
      <c r="J98" s="18">
        <v>8.5000000000000006E-2</v>
      </c>
      <c r="K98" s="17">
        <v>64247.05</v>
      </c>
      <c r="L98" s="17">
        <v>58786.05</v>
      </c>
      <c r="M98" s="17">
        <v>369.68</v>
      </c>
      <c r="N98" s="17">
        <v>48427.43</v>
      </c>
      <c r="O98" s="17">
        <v>10358.629999999999</v>
      </c>
      <c r="P98" s="18">
        <v>0.1762</v>
      </c>
      <c r="Q98" s="17">
        <v>1112.92</v>
      </c>
      <c r="R98" s="15" t="s">
        <v>23</v>
      </c>
    </row>
    <row r="99" spans="1:18" ht="14.25" customHeight="1" x14ac:dyDescent="0.3">
      <c r="A99" s="14">
        <v>45047</v>
      </c>
      <c r="B99" s="15">
        <v>2023</v>
      </c>
      <c r="C99" s="15" t="s">
        <v>42</v>
      </c>
      <c r="D99" s="15" t="s">
        <v>24</v>
      </c>
      <c r="E99" s="15" t="s">
        <v>25</v>
      </c>
      <c r="F99" s="15" t="s">
        <v>26</v>
      </c>
      <c r="G99" s="15" t="s">
        <v>22</v>
      </c>
      <c r="H99" s="16">
        <v>120</v>
      </c>
      <c r="I99" s="17">
        <v>495.36</v>
      </c>
      <c r="J99" s="18">
        <v>5.5E-2</v>
      </c>
      <c r="K99" s="17">
        <v>59443.74</v>
      </c>
      <c r="L99" s="17">
        <v>56174.33</v>
      </c>
      <c r="M99" s="17">
        <v>369.68</v>
      </c>
      <c r="N99" s="17">
        <v>44361</v>
      </c>
      <c r="O99" s="17">
        <v>11813.33</v>
      </c>
      <c r="P99" s="18">
        <v>0.21029999999999999</v>
      </c>
      <c r="Q99" s="17">
        <v>1013.73</v>
      </c>
      <c r="R99" s="15" t="s">
        <v>23</v>
      </c>
    </row>
    <row r="100" spans="1:18" ht="14.25" customHeight="1" x14ac:dyDescent="0.3">
      <c r="A100" s="14">
        <v>45047</v>
      </c>
      <c r="B100" s="15">
        <v>2023</v>
      </c>
      <c r="C100" s="15" t="s">
        <v>42</v>
      </c>
      <c r="D100" s="15" t="s">
        <v>27</v>
      </c>
      <c r="E100" s="15" t="s">
        <v>28</v>
      </c>
      <c r="F100" s="15" t="s">
        <v>29</v>
      </c>
      <c r="G100" s="15" t="s">
        <v>22</v>
      </c>
      <c r="H100" s="16">
        <v>93</v>
      </c>
      <c r="I100" s="17">
        <v>500.29</v>
      </c>
      <c r="J100" s="18">
        <v>0.04</v>
      </c>
      <c r="K100" s="17">
        <v>46527.3</v>
      </c>
      <c r="L100" s="17">
        <v>44666.2</v>
      </c>
      <c r="M100" s="17">
        <v>369.68</v>
      </c>
      <c r="N100" s="17">
        <v>34379.78</v>
      </c>
      <c r="O100" s="17">
        <v>10286.43</v>
      </c>
      <c r="P100" s="18">
        <v>0.2303</v>
      </c>
      <c r="Q100" s="17">
        <v>837.25</v>
      </c>
      <c r="R100" s="15" t="s">
        <v>23</v>
      </c>
    </row>
    <row r="101" spans="1:18" ht="14.25" customHeight="1" x14ac:dyDescent="0.3">
      <c r="A101" s="14">
        <v>45047</v>
      </c>
      <c r="B101" s="15">
        <v>2023</v>
      </c>
      <c r="C101" s="15" t="s">
        <v>42</v>
      </c>
      <c r="D101" s="15" t="s">
        <v>30</v>
      </c>
      <c r="E101" s="15" t="s">
        <v>31</v>
      </c>
      <c r="F101" s="15" t="s">
        <v>32</v>
      </c>
      <c r="G101" s="15" t="s">
        <v>22</v>
      </c>
      <c r="H101" s="16">
        <v>124</v>
      </c>
      <c r="I101" s="17">
        <v>485.51</v>
      </c>
      <c r="J101" s="18">
        <v>0.12</v>
      </c>
      <c r="K101" s="17">
        <v>60202.81</v>
      </c>
      <c r="L101" s="17">
        <v>52978.47</v>
      </c>
      <c r="M101" s="17">
        <v>369.68</v>
      </c>
      <c r="N101" s="17">
        <v>45839.7</v>
      </c>
      <c r="O101" s="17">
        <v>7138.77</v>
      </c>
      <c r="P101" s="18">
        <v>0.13469999999999999</v>
      </c>
      <c r="Q101" s="17">
        <v>618.28</v>
      </c>
      <c r="R101" s="15" t="s">
        <v>23</v>
      </c>
    </row>
    <row r="102" spans="1:18" ht="14.25" customHeight="1" x14ac:dyDescent="0.3">
      <c r="A102" s="14">
        <v>45047</v>
      </c>
      <c r="B102" s="15">
        <v>2023</v>
      </c>
      <c r="C102" s="15" t="s">
        <v>42</v>
      </c>
      <c r="D102" s="15" t="s">
        <v>19</v>
      </c>
      <c r="E102" s="15" t="s">
        <v>25</v>
      </c>
      <c r="F102" s="15" t="s">
        <v>26</v>
      </c>
      <c r="G102" s="15" t="s">
        <v>33</v>
      </c>
      <c r="H102" s="16">
        <v>85</v>
      </c>
      <c r="I102" s="17">
        <v>696.1</v>
      </c>
      <c r="J102" s="18">
        <v>5.5E-2</v>
      </c>
      <c r="K102" s="17">
        <v>59168.67</v>
      </c>
      <c r="L102" s="17">
        <v>55914.39</v>
      </c>
      <c r="M102" s="17">
        <v>548.54999999999995</v>
      </c>
      <c r="N102" s="17">
        <v>46626.75</v>
      </c>
      <c r="O102" s="17">
        <v>9287.64</v>
      </c>
      <c r="P102" s="18">
        <v>0.1661</v>
      </c>
      <c r="Q102" s="17">
        <v>943.38</v>
      </c>
      <c r="R102" s="15" t="s">
        <v>23</v>
      </c>
    </row>
    <row r="103" spans="1:18" ht="14.25" customHeight="1" x14ac:dyDescent="0.3">
      <c r="A103" s="14">
        <v>45047</v>
      </c>
      <c r="B103" s="15">
        <v>2023</v>
      </c>
      <c r="C103" s="15" t="s">
        <v>42</v>
      </c>
      <c r="D103" s="15" t="s">
        <v>24</v>
      </c>
      <c r="E103" s="15" t="s">
        <v>28</v>
      </c>
      <c r="F103" s="15" t="s">
        <v>29</v>
      </c>
      <c r="G103" s="15" t="s">
        <v>33</v>
      </c>
      <c r="H103" s="16">
        <v>64</v>
      </c>
      <c r="I103" s="17">
        <v>703.1</v>
      </c>
      <c r="J103" s="18">
        <v>0.04</v>
      </c>
      <c r="K103" s="17">
        <v>44998.27</v>
      </c>
      <c r="L103" s="17">
        <v>43198.34</v>
      </c>
      <c r="M103" s="17">
        <v>548.54999999999995</v>
      </c>
      <c r="N103" s="17">
        <v>35107.199999999997</v>
      </c>
      <c r="O103" s="17">
        <v>8091.14</v>
      </c>
      <c r="P103" s="18">
        <v>0.18729999999999999</v>
      </c>
      <c r="Q103" s="17">
        <v>815.1</v>
      </c>
      <c r="R103" s="15" t="s">
        <v>23</v>
      </c>
    </row>
    <row r="104" spans="1:18" ht="14.25" customHeight="1" x14ac:dyDescent="0.3">
      <c r="A104" s="14">
        <v>45047</v>
      </c>
      <c r="B104" s="15">
        <v>2023</v>
      </c>
      <c r="C104" s="15" t="s">
        <v>42</v>
      </c>
      <c r="D104" s="15" t="s">
        <v>27</v>
      </c>
      <c r="E104" s="15" t="s">
        <v>31</v>
      </c>
      <c r="F104" s="15" t="s">
        <v>32</v>
      </c>
      <c r="G104" s="15" t="s">
        <v>33</v>
      </c>
      <c r="H104" s="16">
        <v>128</v>
      </c>
      <c r="I104" s="17">
        <v>710.09</v>
      </c>
      <c r="J104" s="18">
        <v>0.12</v>
      </c>
      <c r="K104" s="17">
        <v>90892.03</v>
      </c>
      <c r="L104" s="17">
        <v>79984.990000000005</v>
      </c>
      <c r="M104" s="17">
        <v>548.54999999999995</v>
      </c>
      <c r="N104" s="17">
        <v>70214.399999999994</v>
      </c>
      <c r="O104" s="17">
        <v>9770.59</v>
      </c>
      <c r="P104" s="18">
        <v>0.1222</v>
      </c>
      <c r="Q104" s="17">
        <v>748.75</v>
      </c>
      <c r="R104" s="15" t="s">
        <v>23</v>
      </c>
    </row>
    <row r="105" spans="1:18" ht="14.25" customHeight="1" x14ac:dyDescent="0.3">
      <c r="A105" s="14">
        <v>45047</v>
      </c>
      <c r="B105" s="15">
        <v>2023</v>
      </c>
      <c r="C105" s="15" t="s">
        <v>42</v>
      </c>
      <c r="D105" s="15" t="s">
        <v>30</v>
      </c>
      <c r="E105" s="15" t="s">
        <v>20</v>
      </c>
      <c r="F105" s="15" t="s">
        <v>21</v>
      </c>
      <c r="G105" s="15" t="s">
        <v>33</v>
      </c>
      <c r="H105" s="16">
        <v>75</v>
      </c>
      <c r="I105" s="17">
        <v>689.11</v>
      </c>
      <c r="J105" s="18">
        <v>8.5000000000000006E-2</v>
      </c>
      <c r="K105" s="17">
        <v>51682.95</v>
      </c>
      <c r="L105" s="17">
        <v>47289.9</v>
      </c>
      <c r="M105" s="17">
        <v>548.54999999999995</v>
      </c>
      <c r="N105" s="17">
        <v>41141.25</v>
      </c>
      <c r="O105" s="17">
        <v>6148.65</v>
      </c>
      <c r="P105" s="18">
        <v>0.13</v>
      </c>
      <c r="Q105" s="17">
        <v>913.84</v>
      </c>
      <c r="R105" s="15" t="s">
        <v>23</v>
      </c>
    </row>
    <row r="106" spans="1:18" ht="14.25" customHeight="1" x14ac:dyDescent="0.3">
      <c r="A106" s="14">
        <v>45047</v>
      </c>
      <c r="B106" s="15">
        <v>2023</v>
      </c>
      <c r="C106" s="15" t="s">
        <v>42</v>
      </c>
      <c r="D106" s="15" t="s">
        <v>19</v>
      </c>
      <c r="E106" s="15" t="s">
        <v>20</v>
      </c>
      <c r="F106" s="15" t="s">
        <v>21</v>
      </c>
      <c r="G106" s="15" t="s">
        <v>34</v>
      </c>
      <c r="H106" s="16">
        <v>182</v>
      </c>
      <c r="I106" s="17">
        <v>221.49</v>
      </c>
      <c r="J106" s="18">
        <v>8.5000000000000006E-2</v>
      </c>
      <c r="K106" s="17">
        <v>40310.629999999997</v>
      </c>
      <c r="L106" s="17">
        <v>36884.230000000003</v>
      </c>
      <c r="M106" s="17">
        <v>151.05000000000001</v>
      </c>
      <c r="N106" s="17">
        <v>27491.1</v>
      </c>
      <c r="O106" s="17">
        <v>9393.1299999999992</v>
      </c>
      <c r="P106" s="18">
        <v>0.25469999999999998</v>
      </c>
      <c r="Q106" s="17">
        <v>786.92</v>
      </c>
      <c r="R106" s="15" t="s">
        <v>23</v>
      </c>
    </row>
    <row r="107" spans="1:18" ht="14.25" customHeight="1" x14ac:dyDescent="0.3">
      <c r="A107" s="14">
        <v>45047</v>
      </c>
      <c r="B107" s="15">
        <v>2023</v>
      </c>
      <c r="C107" s="15" t="s">
        <v>42</v>
      </c>
      <c r="D107" s="15" t="s">
        <v>24</v>
      </c>
      <c r="E107" s="15" t="s">
        <v>25</v>
      </c>
      <c r="F107" s="15" t="s">
        <v>26</v>
      </c>
      <c r="G107" s="15" t="s">
        <v>34</v>
      </c>
      <c r="H107" s="16">
        <v>161</v>
      </c>
      <c r="I107" s="17">
        <v>223.71</v>
      </c>
      <c r="J107" s="18">
        <v>5.5E-2</v>
      </c>
      <c r="K107" s="17">
        <v>36017.79</v>
      </c>
      <c r="L107" s="17">
        <v>34036.81</v>
      </c>
      <c r="M107" s="17">
        <v>151.05000000000001</v>
      </c>
      <c r="N107" s="17">
        <v>24319.05</v>
      </c>
      <c r="O107" s="17">
        <v>9717.76</v>
      </c>
      <c r="P107" s="18">
        <v>0.28549999999999998</v>
      </c>
      <c r="Q107" s="17">
        <v>709.08</v>
      </c>
      <c r="R107" s="15" t="s">
        <v>23</v>
      </c>
    </row>
    <row r="108" spans="1:18" ht="14.25" customHeight="1" x14ac:dyDescent="0.3">
      <c r="A108" s="14">
        <v>45047</v>
      </c>
      <c r="B108" s="15">
        <v>2023</v>
      </c>
      <c r="C108" s="15" t="s">
        <v>42</v>
      </c>
      <c r="D108" s="15" t="s">
        <v>27</v>
      </c>
      <c r="E108" s="15" t="s">
        <v>31</v>
      </c>
      <c r="F108" s="15" t="s">
        <v>32</v>
      </c>
      <c r="G108" s="15" t="s">
        <v>34</v>
      </c>
      <c r="H108" s="16">
        <v>242</v>
      </c>
      <c r="I108" s="17">
        <v>225.94</v>
      </c>
      <c r="J108" s="18">
        <v>0.12</v>
      </c>
      <c r="K108" s="17">
        <v>54677.24</v>
      </c>
      <c r="L108" s="17">
        <v>48115.97</v>
      </c>
      <c r="M108" s="17">
        <v>151.05000000000001</v>
      </c>
      <c r="N108" s="17">
        <v>36554.1</v>
      </c>
      <c r="O108" s="17">
        <v>11561.87</v>
      </c>
      <c r="P108" s="18">
        <v>0.24030000000000001</v>
      </c>
      <c r="Q108" s="17">
        <v>535.92999999999995</v>
      </c>
      <c r="R108" s="15" t="s">
        <v>23</v>
      </c>
    </row>
    <row r="109" spans="1:18" ht="14.25" customHeight="1" x14ac:dyDescent="0.3">
      <c r="A109" s="14">
        <v>45047</v>
      </c>
      <c r="B109" s="15">
        <v>2023</v>
      </c>
      <c r="C109" s="15" t="s">
        <v>42</v>
      </c>
      <c r="D109" s="15" t="s">
        <v>30</v>
      </c>
      <c r="E109" s="15" t="s">
        <v>20</v>
      </c>
      <c r="F109" s="15" t="s">
        <v>26</v>
      </c>
      <c r="G109" s="15" t="s">
        <v>34</v>
      </c>
      <c r="H109" s="16">
        <v>152</v>
      </c>
      <c r="I109" s="17">
        <v>219.26</v>
      </c>
      <c r="J109" s="18">
        <v>8.5000000000000006E-2</v>
      </c>
      <c r="K109" s="17">
        <v>33327.67</v>
      </c>
      <c r="L109" s="17">
        <v>30494.82</v>
      </c>
      <c r="M109" s="17">
        <v>151.05000000000001</v>
      </c>
      <c r="N109" s="17">
        <v>22959.599999999999</v>
      </c>
      <c r="O109" s="17">
        <v>7535.22</v>
      </c>
      <c r="P109" s="18">
        <v>0.24709999999999999</v>
      </c>
      <c r="Q109" s="17">
        <v>693.03</v>
      </c>
      <c r="R109" s="15" t="s">
        <v>23</v>
      </c>
    </row>
    <row r="110" spans="1:18" ht="14.25" customHeight="1" x14ac:dyDescent="0.3">
      <c r="A110" s="14">
        <v>45047</v>
      </c>
      <c r="B110" s="15">
        <v>2023</v>
      </c>
      <c r="C110" s="15" t="s">
        <v>42</v>
      </c>
      <c r="D110" s="15" t="s">
        <v>19</v>
      </c>
      <c r="E110" s="15" t="s">
        <v>25</v>
      </c>
      <c r="F110" s="15" t="s">
        <v>26</v>
      </c>
      <c r="G110" s="15" t="s">
        <v>35</v>
      </c>
      <c r="H110" s="16">
        <v>598</v>
      </c>
      <c r="I110" s="17">
        <v>11.07</v>
      </c>
      <c r="J110" s="18">
        <v>5.5E-2</v>
      </c>
      <c r="K110" s="17">
        <v>6622.46</v>
      </c>
      <c r="L110" s="17">
        <v>6258.22</v>
      </c>
      <c r="M110" s="17">
        <v>5.57</v>
      </c>
      <c r="N110" s="17">
        <v>3327.87</v>
      </c>
      <c r="O110" s="17">
        <v>2930.35</v>
      </c>
      <c r="P110" s="18">
        <v>0.46820000000000001</v>
      </c>
      <c r="Q110" s="17">
        <v>309.39999999999998</v>
      </c>
      <c r="R110" s="15" t="s">
        <v>23</v>
      </c>
    </row>
    <row r="111" spans="1:18" ht="14.25" customHeight="1" x14ac:dyDescent="0.3">
      <c r="A111" s="14">
        <v>45047</v>
      </c>
      <c r="B111" s="15">
        <v>2023</v>
      </c>
      <c r="C111" s="15" t="s">
        <v>42</v>
      </c>
      <c r="D111" s="15" t="s">
        <v>24</v>
      </c>
      <c r="E111" s="15" t="s">
        <v>31</v>
      </c>
      <c r="F111" s="15" t="s">
        <v>32</v>
      </c>
      <c r="G111" s="15" t="s">
        <v>35</v>
      </c>
      <c r="H111" s="16">
        <v>842</v>
      </c>
      <c r="I111" s="17">
        <v>11.19</v>
      </c>
      <c r="J111" s="18">
        <v>0.12</v>
      </c>
      <c r="K111" s="17">
        <v>9418.32</v>
      </c>
      <c r="L111" s="17">
        <v>8288.1200000000008</v>
      </c>
      <c r="M111" s="17">
        <v>5.57</v>
      </c>
      <c r="N111" s="17">
        <v>4685.7299999999996</v>
      </c>
      <c r="O111" s="17">
        <v>3602.39</v>
      </c>
      <c r="P111" s="18">
        <v>0.43459999999999999</v>
      </c>
      <c r="Q111" s="17">
        <v>242.31</v>
      </c>
      <c r="R111" s="15" t="s">
        <v>23</v>
      </c>
    </row>
    <row r="112" spans="1:18" ht="14.25" customHeight="1" x14ac:dyDescent="0.3">
      <c r="A112" s="14">
        <v>45047</v>
      </c>
      <c r="B112" s="15">
        <v>2023</v>
      </c>
      <c r="C112" s="15" t="s">
        <v>42</v>
      </c>
      <c r="D112" s="15" t="s">
        <v>27</v>
      </c>
      <c r="E112" s="15" t="s">
        <v>20</v>
      </c>
      <c r="F112" s="15" t="s">
        <v>26</v>
      </c>
      <c r="G112" s="15" t="s">
        <v>35</v>
      </c>
      <c r="H112" s="16">
        <v>912</v>
      </c>
      <c r="I112" s="17">
        <v>11.3</v>
      </c>
      <c r="J112" s="18">
        <v>8.5000000000000006E-2</v>
      </c>
      <c r="K112" s="17">
        <v>10302.82</v>
      </c>
      <c r="L112" s="17">
        <v>9427.08</v>
      </c>
      <c r="M112" s="17">
        <v>5.57</v>
      </c>
      <c r="N112" s="17">
        <v>5075.28</v>
      </c>
      <c r="O112" s="17">
        <v>4351.8</v>
      </c>
      <c r="P112" s="18">
        <v>0.46160000000000001</v>
      </c>
      <c r="Q112" s="17">
        <v>404.42</v>
      </c>
      <c r="R112" s="15" t="s">
        <v>23</v>
      </c>
    </row>
    <row r="113" spans="1:18" ht="14.25" customHeight="1" x14ac:dyDescent="0.3">
      <c r="A113" s="14">
        <v>45047</v>
      </c>
      <c r="B113" s="15">
        <v>2023</v>
      </c>
      <c r="C113" s="15" t="s">
        <v>42</v>
      </c>
      <c r="D113" s="15" t="s">
        <v>30</v>
      </c>
      <c r="E113" s="15" t="s">
        <v>25</v>
      </c>
      <c r="F113" s="15" t="s">
        <v>21</v>
      </c>
      <c r="G113" s="15" t="s">
        <v>35</v>
      </c>
      <c r="H113" s="16">
        <v>467</v>
      </c>
      <c r="I113" s="17">
        <v>10.96</v>
      </c>
      <c r="J113" s="18">
        <v>5.5E-2</v>
      </c>
      <c r="K113" s="17">
        <v>5119.74</v>
      </c>
      <c r="L113" s="17">
        <v>4838.16</v>
      </c>
      <c r="M113" s="17">
        <v>5.57</v>
      </c>
      <c r="N113" s="17">
        <v>2598.86</v>
      </c>
      <c r="O113" s="17">
        <v>2239.3000000000002</v>
      </c>
      <c r="P113" s="18">
        <v>0.46279999999999999</v>
      </c>
      <c r="Q113" s="17">
        <v>272.91000000000003</v>
      </c>
      <c r="R113" s="15" t="s">
        <v>23</v>
      </c>
    </row>
    <row r="114" spans="1:18" ht="14.25" customHeight="1" x14ac:dyDescent="0.3">
      <c r="A114" s="14">
        <v>45047</v>
      </c>
      <c r="B114" s="15">
        <v>2023</v>
      </c>
      <c r="C114" s="15" t="s">
        <v>42</v>
      </c>
      <c r="D114" s="15" t="s">
        <v>19</v>
      </c>
      <c r="E114" s="15" t="s">
        <v>31</v>
      </c>
      <c r="F114" s="15" t="s">
        <v>32</v>
      </c>
      <c r="G114" s="15" t="s">
        <v>36</v>
      </c>
      <c r="H114" s="16">
        <v>238</v>
      </c>
      <c r="I114" s="17">
        <v>67.239999999999995</v>
      </c>
      <c r="J114" s="18">
        <v>0.105</v>
      </c>
      <c r="K114" s="17">
        <v>16003.38</v>
      </c>
      <c r="L114" s="17">
        <v>14323.03</v>
      </c>
      <c r="M114" s="17">
        <v>14.31</v>
      </c>
      <c r="N114" s="17">
        <v>3405.78</v>
      </c>
      <c r="O114" s="17">
        <v>10917.25</v>
      </c>
      <c r="P114" s="18">
        <v>0.76219999999999999</v>
      </c>
      <c r="Q114" s="17">
        <v>331.65</v>
      </c>
      <c r="R114" s="15" t="s">
        <v>23</v>
      </c>
    </row>
    <row r="115" spans="1:18" ht="14.25" customHeight="1" x14ac:dyDescent="0.3">
      <c r="A115" s="14">
        <v>45047</v>
      </c>
      <c r="B115" s="15">
        <v>2023</v>
      </c>
      <c r="C115" s="15" t="s">
        <v>42</v>
      </c>
      <c r="D115" s="15" t="s">
        <v>24</v>
      </c>
      <c r="E115" s="15" t="s">
        <v>20</v>
      </c>
      <c r="F115" s="15" t="s">
        <v>26</v>
      </c>
      <c r="G115" s="15" t="s">
        <v>36</v>
      </c>
      <c r="H115" s="16">
        <v>249</v>
      </c>
      <c r="I115" s="17">
        <v>67.91</v>
      </c>
      <c r="J115" s="18">
        <v>7.0000000000000007E-2</v>
      </c>
      <c r="K115" s="17">
        <v>16909.32</v>
      </c>
      <c r="L115" s="17">
        <v>15725.66</v>
      </c>
      <c r="M115" s="17">
        <v>14.31</v>
      </c>
      <c r="N115" s="17">
        <v>3563.19</v>
      </c>
      <c r="O115" s="17">
        <v>12162.47</v>
      </c>
      <c r="P115" s="18">
        <v>0.77339999999999998</v>
      </c>
      <c r="Q115" s="17">
        <v>575.55999999999995</v>
      </c>
      <c r="R115" s="15" t="s">
        <v>23</v>
      </c>
    </row>
    <row r="116" spans="1:18" ht="14.25" customHeight="1" x14ac:dyDescent="0.3">
      <c r="A116" s="14">
        <v>45047</v>
      </c>
      <c r="B116" s="15">
        <v>2023</v>
      </c>
      <c r="C116" s="15" t="s">
        <v>42</v>
      </c>
      <c r="D116" s="15" t="s">
        <v>27</v>
      </c>
      <c r="E116" s="15" t="s">
        <v>28</v>
      </c>
      <c r="F116" s="15" t="s">
        <v>29</v>
      </c>
      <c r="G116" s="15" t="s">
        <v>36</v>
      </c>
      <c r="H116" s="16">
        <v>149</v>
      </c>
      <c r="I116" s="17">
        <v>68.59</v>
      </c>
      <c r="J116" s="18">
        <v>2.5000000000000001E-2</v>
      </c>
      <c r="K116" s="17">
        <v>10220.299999999999</v>
      </c>
      <c r="L116" s="17">
        <v>9964.7900000000009</v>
      </c>
      <c r="M116" s="17">
        <v>14.31</v>
      </c>
      <c r="N116" s="17">
        <v>2132.19</v>
      </c>
      <c r="O116" s="17">
        <v>7832.6</v>
      </c>
      <c r="P116" s="18">
        <v>0.78600000000000003</v>
      </c>
      <c r="Q116" s="17">
        <v>433.57</v>
      </c>
      <c r="R116" s="15" t="s">
        <v>23</v>
      </c>
    </row>
    <row r="117" spans="1:18" ht="14.25" customHeight="1" x14ac:dyDescent="0.3">
      <c r="A117" s="14">
        <v>45047</v>
      </c>
      <c r="B117" s="15">
        <v>2023</v>
      </c>
      <c r="C117" s="15" t="s">
        <v>42</v>
      </c>
      <c r="D117" s="15" t="s">
        <v>30</v>
      </c>
      <c r="E117" s="15" t="s">
        <v>31</v>
      </c>
      <c r="F117" s="15" t="s">
        <v>32</v>
      </c>
      <c r="G117" s="15" t="s">
        <v>36</v>
      </c>
      <c r="H117" s="16">
        <v>186</v>
      </c>
      <c r="I117" s="17">
        <v>66.56</v>
      </c>
      <c r="J117" s="18">
        <v>0.105</v>
      </c>
      <c r="K117" s="17">
        <v>12379.68</v>
      </c>
      <c r="L117" s="17">
        <v>11079.81</v>
      </c>
      <c r="M117" s="17">
        <v>14.31</v>
      </c>
      <c r="N117" s="17">
        <v>2661.66</v>
      </c>
      <c r="O117" s="17">
        <v>8418.15</v>
      </c>
      <c r="P117" s="18">
        <v>0.75980000000000003</v>
      </c>
      <c r="Q117" s="17">
        <v>282.61</v>
      </c>
      <c r="R117" s="15" t="s">
        <v>23</v>
      </c>
    </row>
    <row r="118" spans="1:18" ht="14.25" customHeight="1" x14ac:dyDescent="0.3">
      <c r="A118" s="14">
        <v>45047</v>
      </c>
      <c r="B118" s="15">
        <v>2023</v>
      </c>
      <c r="C118" s="15" t="s">
        <v>42</v>
      </c>
      <c r="D118" s="15" t="s">
        <v>19</v>
      </c>
      <c r="E118" s="15" t="s">
        <v>20</v>
      </c>
      <c r="F118" s="15" t="s">
        <v>26</v>
      </c>
      <c r="G118" s="15" t="s">
        <v>37</v>
      </c>
      <c r="H118" s="16">
        <v>205</v>
      </c>
      <c r="I118" s="17">
        <v>51.42</v>
      </c>
      <c r="J118" s="18">
        <v>7.0000000000000007E-2</v>
      </c>
      <c r="K118" s="17">
        <v>10541.22</v>
      </c>
      <c r="L118" s="17">
        <v>9803.34</v>
      </c>
      <c r="M118" s="17">
        <v>7.16</v>
      </c>
      <c r="N118" s="17">
        <v>1466.78</v>
      </c>
      <c r="O118" s="17">
        <v>8336.56</v>
      </c>
      <c r="P118" s="18">
        <v>0.85040000000000004</v>
      </c>
      <c r="Q118" s="17">
        <v>323.42</v>
      </c>
      <c r="R118" s="15" t="s">
        <v>23</v>
      </c>
    </row>
    <row r="119" spans="1:18" ht="14.25" customHeight="1" x14ac:dyDescent="0.3">
      <c r="A119" s="14">
        <v>45047</v>
      </c>
      <c r="B119" s="15">
        <v>2023</v>
      </c>
      <c r="C119" s="15" t="s">
        <v>42</v>
      </c>
      <c r="D119" s="15" t="s">
        <v>24</v>
      </c>
      <c r="E119" s="15" t="s">
        <v>25</v>
      </c>
      <c r="F119" s="15" t="s">
        <v>21</v>
      </c>
      <c r="G119" s="15" t="s">
        <v>37</v>
      </c>
      <c r="H119" s="16">
        <v>176</v>
      </c>
      <c r="I119" s="17">
        <v>51.93</v>
      </c>
      <c r="J119" s="18">
        <v>0.04</v>
      </c>
      <c r="K119" s="17">
        <v>9139.57</v>
      </c>
      <c r="L119" s="17">
        <v>8773.99</v>
      </c>
      <c r="M119" s="17">
        <v>7.16</v>
      </c>
      <c r="N119" s="17">
        <v>1259.28</v>
      </c>
      <c r="O119" s="17">
        <v>7514.71</v>
      </c>
      <c r="P119" s="18">
        <v>0.85650000000000004</v>
      </c>
      <c r="Q119" s="17">
        <v>283.04000000000002</v>
      </c>
      <c r="R119" s="15" t="s">
        <v>23</v>
      </c>
    </row>
    <row r="120" spans="1:18" ht="14.25" customHeight="1" x14ac:dyDescent="0.3">
      <c r="A120" s="14">
        <v>45047</v>
      </c>
      <c r="B120" s="15">
        <v>2023</v>
      </c>
      <c r="C120" s="15" t="s">
        <v>42</v>
      </c>
      <c r="D120" s="15" t="s">
        <v>27</v>
      </c>
      <c r="E120" s="15" t="s">
        <v>28</v>
      </c>
      <c r="F120" s="15" t="s">
        <v>32</v>
      </c>
      <c r="G120" s="15" t="s">
        <v>37</v>
      </c>
      <c r="H120" s="16">
        <v>145</v>
      </c>
      <c r="I120" s="17">
        <v>52.45</v>
      </c>
      <c r="J120" s="18">
        <v>2.5000000000000001E-2</v>
      </c>
      <c r="K120" s="17">
        <v>7604.69</v>
      </c>
      <c r="L120" s="17">
        <v>7414.58</v>
      </c>
      <c r="M120" s="17">
        <v>7.16</v>
      </c>
      <c r="N120" s="17">
        <v>1037.48</v>
      </c>
      <c r="O120" s="17">
        <v>6377.1</v>
      </c>
      <c r="P120" s="18">
        <v>0.86009999999999998</v>
      </c>
      <c r="Q120" s="17">
        <v>252.1</v>
      </c>
      <c r="R120" s="15" t="s">
        <v>23</v>
      </c>
    </row>
    <row r="121" spans="1:18" ht="14.25" customHeight="1" x14ac:dyDescent="0.3">
      <c r="A121" s="14">
        <v>45047</v>
      </c>
      <c r="B121" s="15">
        <v>2023</v>
      </c>
      <c r="C121" s="15" t="s">
        <v>42</v>
      </c>
      <c r="D121" s="15" t="s">
        <v>30</v>
      </c>
      <c r="E121" s="15" t="s">
        <v>20</v>
      </c>
      <c r="F121" s="15" t="s">
        <v>21</v>
      </c>
      <c r="G121" s="15" t="s">
        <v>37</v>
      </c>
      <c r="H121" s="16">
        <v>160</v>
      </c>
      <c r="I121" s="17">
        <v>50.9</v>
      </c>
      <c r="J121" s="18">
        <v>7.0000000000000007E-2</v>
      </c>
      <c r="K121" s="17">
        <v>8143.34</v>
      </c>
      <c r="L121" s="17">
        <v>7573.31</v>
      </c>
      <c r="M121" s="17">
        <v>7.16</v>
      </c>
      <c r="N121" s="17">
        <v>1144.8</v>
      </c>
      <c r="O121" s="17">
        <v>6428.51</v>
      </c>
      <c r="P121" s="18">
        <v>0.8488</v>
      </c>
      <c r="Q121" s="17">
        <v>283.36</v>
      </c>
      <c r="R121" s="15" t="s">
        <v>23</v>
      </c>
    </row>
    <row r="122" spans="1:18" ht="14.25" customHeight="1" x14ac:dyDescent="0.3">
      <c r="A122" s="14">
        <v>45078</v>
      </c>
      <c r="B122" s="15">
        <v>2023</v>
      </c>
      <c r="C122" s="15" t="s">
        <v>43</v>
      </c>
      <c r="D122" s="15" t="s">
        <v>19</v>
      </c>
      <c r="E122" s="15" t="s">
        <v>25</v>
      </c>
      <c r="F122" s="15" t="s">
        <v>26</v>
      </c>
      <c r="G122" s="15" t="s">
        <v>22</v>
      </c>
      <c r="H122" s="16">
        <v>98</v>
      </c>
      <c r="I122" s="17">
        <v>490.44</v>
      </c>
      <c r="J122" s="18">
        <v>5.5E-2</v>
      </c>
      <c r="K122" s="17">
        <v>48062.68</v>
      </c>
      <c r="L122" s="17">
        <v>45419.23</v>
      </c>
      <c r="M122" s="17">
        <v>369.68</v>
      </c>
      <c r="N122" s="17">
        <v>36228.15</v>
      </c>
      <c r="O122" s="17">
        <v>9191.08</v>
      </c>
      <c r="P122" s="18">
        <v>0.2024</v>
      </c>
      <c r="Q122" s="17">
        <v>918.37</v>
      </c>
      <c r="R122" s="15" t="s">
        <v>23</v>
      </c>
    </row>
    <row r="123" spans="1:18" ht="14.25" customHeight="1" x14ac:dyDescent="0.3">
      <c r="A123" s="14">
        <v>45078</v>
      </c>
      <c r="B123" s="15">
        <v>2023</v>
      </c>
      <c r="C123" s="15" t="s">
        <v>43</v>
      </c>
      <c r="D123" s="15" t="s">
        <v>24</v>
      </c>
      <c r="E123" s="15" t="s">
        <v>28</v>
      </c>
      <c r="F123" s="15" t="s">
        <v>29</v>
      </c>
      <c r="G123" s="15" t="s">
        <v>22</v>
      </c>
      <c r="H123" s="16">
        <v>76</v>
      </c>
      <c r="I123" s="17">
        <v>495.36</v>
      </c>
      <c r="J123" s="18">
        <v>0.04</v>
      </c>
      <c r="K123" s="17">
        <v>37647.699999999997</v>
      </c>
      <c r="L123" s="17">
        <v>36141.800000000003</v>
      </c>
      <c r="M123" s="17">
        <v>369.68</v>
      </c>
      <c r="N123" s="17">
        <v>28095.3</v>
      </c>
      <c r="O123" s="17">
        <v>8046.5</v>
      </c>
      <c r="P123" s="18">
        <v>0.22259999999999999</v>
      </c>
      <c r="Q123" s="17">
        <v>866.58</v>
      </c>
      <c r="R123" s="15" t="s">
        <v>23</v>
      </c>
    </row>
    <row r="124" spans="1:18" ht="14.25" customHeight="1" x14ac:dyDescent="0.3">
      <c r="A124" s="14">
        <v>45078</v>
      </c>
      <c r="B124" s="15">
        <v>2023</v>
      </c>
      <c r="C124" s="15" t="s">
        <v>43</v>
      </c>
      <c r="D124" s="15" t="s">
        <v>27</v>
      </c>
      <c r="E124" s="15" t="s">
        <v>31</v>
      </c>
      <c r="F124" s="15" t="s">
        <v>32</v>
      </c>
      <c r="G124" s="15" t="s">
        <v>22</v>
      </c>
      <c r="H124" s="16">
        <v>153</v>
      </c>
      <c r="I124" s="17">
        <v>500.29</v>
      </c>
      <c r="J124" s="18">
        <v>0.12</v>
      </c>
      <c r="K124" s="17">
        <v>76544.91</v>
      </c>
      <c r="L124" s="17">
        <v>67359.520000000004</v>
      </c>
      <c r="M124" s="17">
        <v>369.68</v>
      </c>
      <c r="N124" s="17">
        <v>56560.28</v>
      </c>
      <c r="O124" s="17">
        <v>10799.24</v>
      </c>
      <c r="P124" s="18">
        <v>0.1603</v>
      </c>
      <c r="Q124" s="17">
        <v>779.55</v>
      </c>
      <c r="R124" s="15" t="s">
        <v>23</v>
      </c>
    </row>
    <row r="125" spans="1:18" ht="14.25" customHeight="1" x14ac:dyDescent="0.3">
      <c r="A125" s="14">
        <v>45078</v>
      </c>
      <c r="B125" s="15">
        <v>2023</v>
      </c>
      <c r="C125" s="15" t="s">
        <v>43</v>
      </c>
      <c r="D125" s="15" t="s">
        <v>30</v>
      </c>
      <c r="E125" s="15" t="s">
        <v>20</v>
      </c>
      <c r="F125" s="15" t="s">
        <v>21</v>
      </c>
      <c r="G125" s="15" t="s">
        <v>22</v>
      </c>
      <c r="H125" s="16">
        <v>91</v>
      </c>
      <c r="I125" s="17">
        <v>485.51</v>
      </c>
      <c r="J125" s="18">
        <v>8.5000000000000006E-2</v>
      </c>
      <c r="K125" s="17">
        <v>44181.09</v>
      </c>
      <c r="L125" s="17">
        <v>40425.699999999997</v>
      </c>
      <c r="M125" s="17">
        <v>369.68</v>
      </c>
      <c r="N125" s="17">
        <v>33640.43</v>
      </c>
      <c r="O125" s="17">
        <v>6785.28</v>
      </c>
      <c r="P125" s="18">
        <v>0.1678</v>
      </c>
      <c r="Q125" s="17">
        <v>939.4</v>
      </c>
      <c r="R125" s="15" t="s">
        <v>23</v>
      </c>
    </row>
    <row r="126" spans="1:18" ht="14.25" customHeight="1" x14ac:dyDescent="0.3">
      <c r="A126" s="14">
        <v>45078</v>
      </c>
      <c r="B126" s="15">
        <v>2023</v>
      </c>
      <c r="C126" s="15" t="s">
        <v>43</v>
      </c>
      <c r="D126" s="15" t="s">
        <v>19</v>
      </c>
      <c r="E126" s="15" t="s">
        <v>28</v>
      </c>
      <c r="F126" s="15" t="s">
        <v>29</v>
      </c>
      <c r="G126" s="15" t="s">
        <v>33</v>
      </c>
      <c r="H126" s="16">
        <v>51</v>
      </c>
      <c r="I126" s="17">
        <v>696.1</v>
      </c>
      <c r="J126" s="18">
        <v>0.04</v>
      </c>
      <c r="K126" s="17">
        <v>35501.199999999997</v>
      </c>
      <c r="L126" s="17">
        <v>34081.160000000003</v>
      </c>
      <c r="M126" s="17">
        <v>548.54999999999995</v>
      </c>
      <c r="N126" s="17">
        <v>27976.05</v>
      </c>
      <c r="O126" s="17">
        <v>6105.11</v>
      </c>
      <c r="P126" s="18">
        <v>0.17910000000000001</v>
      </c>
      <c r="Q126" s="17">
        <v>763.02</v>
      </c>
      <c r="R126" s="15" t="s">
        <v>23</v>
      </c>
    </row>
    <row r="127" spans="1:18" ht="14.25" customHeight="1" x14ac:dyDescent="0.3">
      <c r="A127" s="14">
        <v>45078</v>
      </c>
      <c r="B127" s="15">
        <v>2023</v>
      </c>
      <c r="C127" s="15" t="s">
        <v>43</v>
      </c>
      <c r="D127" s="15" t="s">
        <v>24</v>
      </c>
      <c r="E127" s="15" t="s">
        <v>31</v>
      </c>
      <c r="F127" s="15" t="s">
        <v>32</v>
      </c>
      <c r="G127" s="15" t="s">
        <v>33</v>
      </c>
      <c r="H127" s="16">
        <v>103</v>
      </c>
      <c r="I127" s="17">
        <v>703.1</v>
      </c>
      <c r="J127" s="18">
        <v>0.12</v>
      </c>
      <c r="K127" s="17">
        <v>72419.09</v>
      </c>
      <c r="L127" s="17">
        <v>63728.81</v>
      </c>
      <c r="M127" s="17">
        <v>548.54999999999995</v>
      </c>
      <c r="N127" s="17">
        <v>56500.65</v>
      </c>
      <c r="O127" s="17">
        <v>7228.16</v>
      </c>
      <c r="P127" s="18">
        <v>0.1134</v>
      </c>
      <c r="Q127" s="17">
        <v>753.82</v>
      </c>
      <c r="R127" s="15" t="s">
        <v>23</v>
      </c>
    </row>
    <row r="128" spans="1:18" ht="14.25" customHeight="1" x14ac:dyDescent="0.3">
      <c r="A128" s="14">
        <v>45078</v>
      </c>
      <c r="B128" s="15">
        <v>2023</v>
      </c>
      <c r="C128" s="15" t="s">
        <v>43</v>
      </c>
      <c r="D128" s="15" t="s">
        <v>27</v>
      </c>
      <c r="E128" s="15" t="s">
        <v>20</v>
      </c>
      <c r="F128" s="15" t="s">
        <v>21</v>
      </c>
      <c r="G128" s="15" t="s">
        <v>33</v>
      </c>
      <c r="H128" s="16">
        <v>98</v>
      </c>
      <c r="I128" s="17">
        <v>710.09</v>
      </c>
      <c r="J128" s="18">
        <v>8.5000000000000006E-2</v>
      </c>
      <c r="K128" s="17">
        <v>69589.210000000006</v>
      </c>
      <c r="L128" s="17">
        <v>63674.13</v>
      </c>
      <c r="M128" s="17">
        <v>548.54999999999995</v>
      </c>
      <c r="N128" s="17">
        <v>53757.9</v>
      </c>
      <c r="O128" s="17">
        <v>9916.23</v>
      </c>
      <c r="P128" s="18">
        <v>0.15570000000000001</v>
      </c>
      <c r="Q128" s="17">
        <v>1201.6300000000001</v>
      </c>
      <c r="R128" s="15" t="s">
        <v>23</v>
      </c>
    </row>
    <row r="129" spans="1:18" ht="14.25" customHeight="1" x14ac:dyDescent="0.3">
      <c r="A129" s="14">
        <v>45078</v>
      </c>
      <c r="B129" s="15">
        <v>2023</v>
      </c>
      <c r="C129" s="15" t="s">
        <v>43</v>
      </c>
      <c r="D129" s="15" t="s">
        <v>30</v>
      </c>
      <c r="E129" s="15" t="s">
        <v>25</v>
      </c>
      <c r="F129" s="15" t="s">
        <v>26</v>
      </c>
      <c r="G129" s="15" t="s">
        <v>33</v>
      </c>
      <c r="H129" s="16">
        <v>59</v>
      </c>
      <c r="I129" s="17">
        <v>689.11</v>
      </c>
      <c r="J129" s="18">
        <v>5.5E-2</v>
      </c>
      <c r="K129" s="17">
        <v>40657.25</v>
      </c>
      <c r="L129" s="17">
        <v>38421.1</v>
      </c>
      <c r="M129" s="17">
        <v>548.54999999999995</v>
      </c>
      <c r="N129" s="17">
        <v>32364.45</v>
      </c>
      <c r="O129" s="17">
        <v>6056.65</v>
      </c>
      <c r="P129" s="18">
        <v>0.15759999999999999</v>
      </c>
      <c r="Q129" s="17">
        <v>834.65</v>
      </c>
      <c r="R129" s="15" t="s">
        <v>23</v>
      </c>
    </row>
    <row r="130" spans="1:18" ht="14.25" customHeight="1" x14ac:dyDescent="0.3">
      <c r="A130" s="14">
        <v>45078</v>
      </c>
      <c r="B130" s="15">
        <v>2023</v>
      </c>
      <c r="C130" s="15" t="s">
        <v>43</v>
      </c>
      <c r="D130" s="15" t="s">
        <v>19</v>
      </c>
      <c r="E130" s="15" t="s">
        <v>25</v>
      </c>
      <c r="F130" s="15" t="s">
        <v>26</v>
      </c>
      <c r="G130" s="15" t="s">
        <v>34</v>
      </c>
      <c r="H130" s="16">
        <v>128</v>
      </c>
      <c r="I130" s="17">
        <v>221.49</v>
      </c>
      <c r="J130" s="18">
        <v>5.5E-2</v>
      </c>
      <c r="K130" s="17">
        <v>28350.34</v>
      </c>
      <c r="L130" s="17">
        <v>26791.07</v>
      </c>
      <c r="M130" s="17">
        <v>151.05000000000001</v>
      </c>
      <c r="N130" s="17">
        <v>19334.400000000001</v>
      </c>
      <c r="O130" s="17">
        <v>7456.67</v>
      </c>
      <c r="P130" s="18">
        <v>0.27829999999999999</v>
      </c>
      <c r="Q130" s="17">
        <v>627.23</v>
      </c>
      <c r="R130" s="15" t="s">
        <v>23</v>
      </c>
    </row>
    <row r="131" spans="1:18" ht="14.25" customHeight="1" x14ac:dyDescent="0.3">
      <c r="A131" s="14">
        <v>45078</v>
      </c>
      <c r="B131" s="15">
        <v>2023</v>
      </c>
      <c r="C131" s="15" t="s">
        <v>43</v>
      </c>
      <c r="D131" s="15" t="s">
        <v>24</v>
      </c>
      <c r="E131" s="15" t="s">
        <v>31</v>
      </c>
      <c r="F131" s="15" t="s">
        <v>32</v>
      </c>
      <c r="G131" s="15" t="s">
        <v>34</v>
      </c>
      <c r="H131" s="16">
        <v>194</v>
      </c>
      <c r="I131" s="17">
        <v>223.71</v>
      </c>
      <c r="J131" s="18">
        <v>0.12</v>
      </c>
      <c r="K131" s="17">
        <v>43400.32</v>
      </c>
      <c r="L131" s="17">
        <v>38192.28</v>
      </c>
      <c r="M131" s="17">
        <v>151.05000000000001</v>
      </c>
      <c r="N131" s="17">
        <v>29303.7</v>
      </c>
      <c r="O131" s="17">
        <v>8888.58</v>
      </c>
      <c r="P131" s="18">
        <v>0.23269999999999999</v>
      </c>
      <c r="Q131" s="17">
        <v>538.02</v>
      </c>
      <c r="R131" s="15" t="s">
        <v>23</v>
      </c>
    </row>
    <row r="132" spans="1:18" ht="14.25" customHeight="1" x14ac:dyDescent="0.3">
      <c r="A132" s="14">
        <v>45078</v>
      </c>
      <c r="B132" s="15">
        <v>2023</v>
      </c>
      <c r="C132" s="15" t="s">
        <v>43</v>
      </c>
      <c r="D132" s="15" t="s">
        <v>27</v>
      </c>
      <c r="E132" s="15" t="s">
        <v>20</v>
      </c>
      <c r="F132" s="15" t="s">
        <v>26</v>
      </c>
      <c r="G132" s="15" t="s">
        <v>34</v>
      </c>
      <c r="H132" s="16">
        <v>205</v>
      </c>
      <c r="I132" s="17">
        <v>225.94</v>
      </c>
      <c r="J132" s="18">
        <v>8.5000000000000006E-2</v>
      </c>
      <c r="K132" s="17">
        <v>46317.5</v>
      </c>
      <c r="L132" s="17">
        <v>42380.51</v>
      </c>
      <c r="M132" s="17">
        <v>151.05000000000001</v>
      </c>
      <c r="N132" s="17">
        <v>30965.25</v>
      </c>
      <c r="O132" s="17">
        <v>11415.26</v>
      </c>
      <c r="P132" s="18">
        <v>0.26939999999999997</v>
      </c>
      <c r="Q132" s="17">
        <v>874.16</v>
      </c>
      <c r="R132" s="15" t="s">
        <v>23</v>
      </c>
    </row>
    <row r="133" spans="1:18" ht="14.25" customHeight="1" x14ac:dyDescent="0.3">
      <c r="A133" s="14">
        <v>45078</v>
      </c>
      <c r="B133" s="15">
        <v>2023</v>
      </c>
      <c r="C133" s="15" t="s">
        <v>43</v>
      </c>
      <c r="D133" s="15" t="s">
        <v>30</v>
      </c>
      <c r="E133" s="15" t="s">
        <v>25</v>
      </c>
      <c r="F133" s="15" t="s">
        <v>21</v>
      </c>
      <c r="G133" s="15" t="s">
        <v>34</v>
      </c>
      <c r="H133" s="16">
        <v>104</v>
      </c>
      <c r="I133" s="17">
        <v>219.26</v>
      </c>
      <c r="J133" s="18">
        <v>5.5E-2</v>
      </c>
      <c r="K133" s="17">
        <v>22803.14</v>
      </c>
      <c r="L133" s="17">
        <v>21548.97</v>
      </c>
      <c r="M133" s="17">
        <v>151.05000000000001</v>
      </c>
      <c r="N133" s="17">
        <v>15709.2</v>
      </c>
      <c r="O133" s="17">
        <v>5839.77</v>
      </c>
      <c r="P133" s="18">
        <v>0.27100000000000002</v>
      </c>
      <c r="Q133" s="17">
        <v>549.46</v>
      </c>
      <c r="R133" s="15" t="s">
        <v>23</v>
      </c>
    </row>
    <row r="134" spans="1:18" ht="14.25" customHeight="1" x14ac:dyDescent="0.3">
      <c r="A134" s="14">
        <v>45078</v>
      </c>
      <c r="B134" s="15">
        <v>2023</v>
      </c>
      <c r="C134" s="15" t="s">
        <v>43</v>
      </c>
      <c r="D134" s="15" t="s">
        <v>19</v>
      </c>
      <c r="E134" s="15" t="s">
        <v>31</v>
      </c>
      <c r="F134" s="15" t="s">
        <v>32</v>
      </c>
      <c r="G134" s="15" t="s">
        <v>35</v>
      </c>
      <c r="H134" s="16">
        <v>743</v>
      </c>
      <c r="I134" s="17">
        <v>11.07</v>
      </c>
      <c r="J134" s="18">
        <v>0.12</v>
      </c>
      <c r="K134" s="17">
        <v>8228.24</v>
      </c>
      <c r="L134" s="17">
        <v>7240.85</v>
      </c>
      <c r="M134" s="17">
        <v>5.57</v>
      </c>
      <c r="N134" s="17">
        <v>4134.8</v>
      </c>
      <c r="O134" s="17">
        <v>3106.06</v>
      </c>
      <c r="P134" s="18">
        <v>0.42899999999999999</v>
      </c>
      <c r="Q134" s="17">
        <v>231.78</v>
      </c>
      <c r="R134" s="15" t="s">
        <v>23</v>
      </c>
    </row>
    <row r="135" spans="1:18" ht="14.25" customHeight="1" x14ac:dyDescent="0.3">
      <c r="A135" s="14">
        <v>45078</v>
      </c>
      <c r="B135" s="15">
        <v>2023</v>
      </c>
      <c r="C135" s="15" t="s">
        <v>43</v>
      </c>
      <c r="D135" s="15" t="s">
        <v>24</v>
      </c>
      <c r="E135" s="15" t="s">
        <v>20</v>
      </c>
      <c r="F135" s="15" t="s">
        <v>26</v>
      </c>
      <c r="G135" s="15" t="s">
        <v>35</v>
      </c>
      <c r="H135" s="16">
        <v>717</v>
      </c>
      <c r="I135" s="17">
        <v>11.19</v>
      </c>
      <c r="J135" s="18">
        <v>8.5000000000000006E-2</v>
      </c>
      <c r="K135" s="17">
        <v>8020.11</v>
      </c>
      <c r="L135" s="17">
        <v>7338.4</v>
      </c>
      <c r="M135" s="17">
        <v>5.57</v>
      </c>
      <c r="N135" s="17">
        <v>3990.11</v>
      </c>
      <c r="O135" s="17">
        <v>3348.29</v>
      </c>
      <c r="P135" s="18">
        <v>0.45629999999999998</v>
      </c>
      <c r="Q135" s="17">
        <v>402.64</v>
      </c>
      <c r="R135" s="15" t="s">
        <v>23</v>
      </c>
    </row>
    <row r="136" spans="1:18" ht="14.25" customHeight="1" x14ac:dyDescent="0.3">
      <c r="A136" s="14">
        <v>45078</v>
      </c>
      <c r="B136" s="15">
        <v>2023</v>
      </c>
      <c r="C136" s="15" t="s">
        <v>43</v>
      </c>
      <c r="D136" s="15" t="s">
        <v>27</v>
      </c>
      <c r="E136" s="15" t="s">
        <v>25</v>
      </c>
      <c r="F136" s="15" t="s">
        <v>21</v>
      </c>
      <c r="G136" s="15" t="s">
        <v>35</v>
      </c>
      <c r="H136" s="16">
        <v>642</v>
      </c>
      <c r="I136" s="17">
        <v>11.3</v>
      </c>
      <c r="J136" s="18">
        <v>5.5E-2</v>
      </c>
      <c r="K136" s="17">
        <v>7252.64</v>
      </c>
      <c r="L136" s="17">
        <v>6853.74</v>
      </c>
      <c r="M136" s="17">
        <v>5.57</v>
      </c>
      <c r="N136" s="17">
        <v>3572.73</v>
      </c>
      <c r="O136" s="17">
        <v>3281.01</v>
      </c>
      <c r="P136" s="18">
        <v>0.47870000000000001</v>
      </c>
      <c r="Q136" s="17">
        <v>327.17</v>
      </c>
      <c r="R136" s="15" t="s">
        <v>23</v>
      </c>
    </row>
    <row r="137" spans="1:18" ht="14.25" customHeight="1" x14ac:dyDescent="0.3">
      <c r="A137" s="14">
        <v>45078</v>
      </c>
      <c r="B137" s="15">
        <v>2023</v>
      </c>
      <c r="C137" s="15" t="s">
        <v>43</v>
      </c>
      <c r="D137" s="15" t="s">
        <v>30</v>
      </c>
      <c r="E137" s="15" t="s">
        <v>31</v>
      </c>
      <c r="F137" s="15" t="s">
        <v>32</v>
      </c>
      <c r="G137" s="15" t="s">
        <v>35</v>
      </c>
      <c r="H137" s="16">
        <v>579</v>
      </c>
      <c r="I137" s="17">
        <v>10.96</v>
      </c>
      <c r="J137" s="18">
        <v>0.12</v>
      </c>
      <c r="K137" s="17">
        <v>6347.61</v>
      </c>
      <c r="L137" s="17">
        <v>5585.89</v>
      </c>
      <c r="M137" s="17">
        <v>5.57</v>
      </c>
      <c r="N137" s="17">
        <v>3222.14</v>
      </c>
      <c r="O137" s="17">
        <v>2363.7600000000002</v>
      </c>
      <c r="P137" s="18">
        <v>0.42320000000000002</v>
      </c>
      <c r="Q137" s="17">
        <v>197.48</v>
      </c>
      <c r="R137" s="15" t="s">
        <v>23</v>
      </c>
    </row>
    <row r="138" spans="1:18" ht="14.25" customHeight="1" x14ac:dyDescent="0.3">
      <c r="A138" s="14">
        <v>45078</v>
      </c>
      <c r="B138" s="15">
        <v>2023</v>
      </c>
      <c r="C138" s="15" t="s">
        <v>43</v>
      </c>
      <c r="D138" s="15" t="s">
        <v>19</v>
      </c>
      <c r="E138" s="15" t="s">
        <v>20</v>
      </c>
      <c r="F138" s="15" t="s">
        <v>26</v>
      </c>
      <c r="G138" s="15" t="s">
        <v>36</v>
      </c>
      <c r="H138" s="16">
        <v>207</v>
      </c>
      <c r="I138" s="17">
        <v>67.239999999999995</v>
      </c>
      <c r="J138" s="18">
        <v>7.0000000000000007E-2</v>
      </c>
      <c r="K138" s="17">
        <v>13918.91</v>
      </c>
      <c r="L138" s="17">
        <v>12944.59</v>
      </c>
      <c r="M138" s="17">
        <v>14.31</v>
      </c>
      <c r="N138" s="17">
        <v>2962.17</v>
      </c>
      <c r="O138" s="17">
        <v>9982.42</v>
      </c>
      <c r="P138" s="18">
        <v>0.7712</v>
      </c>
      <c r="Q138" s="17">
        <v>536.5</v>
      </c>
      <c r="R138" s="15" t="s">
        <v>23</v>
      </c>
    </row>
    <row r="139" spans="1:18" ht="14.25" customHeight="1" x14ac:dyDescent="0.3">
      <c r="A139" s="14">
        <v>45078</v>
      </c>
      <c r="B139" s="15">
        <v>2023</v>
      </c>
      <c r="C139" s="15" t="s">
        <v>43</v>
      </c>
      <c r="D139" s="15" t="s">
        <v>24</v>
      </c>
      <c r="E139" s="15" t="s">
        <v>28</v>
      </c>
      <c r="F139" s="15" t="s">
        <v>29</v>
      </c>
      <c r="G139" s="15" t="s">
        <v>36</v>
      </c>
      <c r="H139" s="16">
        <v>122</v>
      </c>
      <c r="I139" s="17">
        <v>67.91</v>
      </c>
      <c r="J139" s="18">
        <v>2.5000000000000001E-2</v>
      </c>
      <c r="K139" s="17">
        <v>8284.89</v>
      </c>
      <c r="L139" s="17">
        <v>8077.76</v>
      </c>
      <c r="M139" s="17">
        <v>14.31</v>
      </c>
      <c r="N139" s="17">
        <v>1745.82</v>
      </c>
      <c r="O139" s="17">
        <v>6331.94</v>
      </c>
      <c r="P139" s="18">
        <v>0.78390000000000004</v>
      </c>
      <c r="Q139" s="17">
        <v>390.81</v>
      </c>
      <c r="R139" s="15" t="s">
        <v>23</v>
      </c>
    </row>
    <row r="140" spans="1:18" ht="14.25" customHeight="1" x14ac:dyDescent="0.3">
      <c r="A140" s="14">
        <v>45078</v>
      </c>
      <c r="B140" s="15">
        <v>2023</v>
      </c>
      <c r="C140" s="15" t="s">
        <v>43</v>
      </c>
      <c r="D140" s="15" t="s">
        <v>27</v>
      </c>
      <c r="E140" s="15" t="s">
        <v>31</v>
      </c>
      <c r="F140" s="15" t="s">
        <v>32</v>
      </c>
      <c r="G140" s="15" t="s">
        <v>36</v>
      </c>
      <c r="H140" s="16">
        <v>255</v>
      </c>
      <c r="I140" s="17">
        <v>68.59</v>
      </c>
      <c r="J140" s="18">
        <v>0.105</v>
      </c>
      <c r="K140" s="17">
        <v>17491.11</v>
      </c>
      <c r="L140" s="17">
        <v>15654.54</v>
      </c>
      <c r="M140" s="17">
        <v>14.31</v>
      </c>
      <c r="N140" s="17">
        <v>3649.05</v>
      </c>
      <c r="O140" s="17">
        <v>12005.49</v>
      </c>
      <c r="P140" s="18">
        <v>0.76690000000000003</v>
      </c>
      <c r="Q140" s="17">
        <v>370.53</v>
      </c>
      <c r="R140" s="15" t="s">
        <v>23</v>
      </c>
    </row>
    <row r="141" spans="1:18" ht="14.25" customHeight="1" x14ac:dyDescent="0.3">
      <c r="A141" s="14">
        <v>45078</v>
      </c>
      <c r="B141" s="15">
        <v>2023</v>
      </c>
      <c r="C141" s="15" t="s">
        <v>43</v>
      </c>
      <c r="D141" s="15" t="s">
        <v>30</v>
      </c>
      <c r="E141" s="15" t="s">
        <v>20</v>
      </c>
      <c r="F141" s="15" t="s">
        <v>21</v>
      </c>
      <c r="G141" s="15" t="s">
        <v>36</v>
      </c>
      <c r="H141" s="16">
        <v>154</v>
      </c>
      <c r="I141" s="17">
        <v>66.56</v>
      </c>
      <c r="J141" s="18">
        <v>7.0000000000000007E-2</v>
      </c>
      <c r="K141" s="17">
        <v>10249.84</v>
      </c>
      <c r="L141" s="17">
        <v>9532.35</v>
      </c>
      <c r="M141" s="17">
        <v>14.31</v>
      </c>
      <c r="N141" s="17">
        <v>2203.7399999999998</v>
      </c>
      <c r="O141" s="17">
        <v>7328.61</v>
      </c>
      <c r="P141" s="18">
        <v>0.76880000000000004</v>
      </c>
      <c r="Q141" s="17">
        <v>459.93</v>
      </c>
      <c r="R141" s="15" t="s">
        <v>23</v>
      </c>
    </row>
    <row r="142" spans="1:18" ht="14.25" customHeight="1" x14ac:dyDescent="0.3">
      <c r="A142" s="14">
        <v>45078</v>
      </c>
      <c r="B142" s="15">
        <v>2023</v>
      </c>
      <c r="C142" s="15" t="s">
        <v>43</v>
      </c>
      <c r="D142" s="15" t="s">
        <v>19</v>
      </c>
      <c r="E142" s="15" t="s">
        <v>25</v>
      </c>
      <c r="F142" s="15" t="s">
        <v>21</v>
      </c>
      <c r="G142" s="15" t="s">
        <v>37</v>
      </c>
      <c r="H142" s="16">
        <v>151</v>
      </c>
      <c r="I142" s="17">
        <v>51.42</v>
      </c>
      <c r="J142" s="18">
        <v>0.04</v>
      </c>
      <c r="K142" s="17">
        <v>7764.51</v>
      </c>
      <c r="L142" s="17">
        <v>7453.93</v>
      </c>
      <c r="M142" s="17">
        <v>7.16</v>
      </c>
      <c r="N142" s="17">
        <v>1080.4000000000001</v>
      </c>
      <c r="O142" s="17">
        <v>6373.52</v>
      </c>
      <c r="P142" s="18">
        <v>0.85509999999999997</v>
      </c>
      <c r="Q142" s="17">
        <v>263.89</v>
      </c>
      <c r="R142" s="15" t="s">
        <v>23</v>
      </c>
    </row>
    <row r="143" spans="1:18" ht="14.25" customHeight="1" x14ac:dyDescent="0.3">
      <c r="A143" s="14">
        <v>45078</v>
      </c>
      <c r="B143" s="15">
        <v>2023</v>
      </c>
      <c r="C143" s="15" t="s">
        <v>43</v>
      </c>
      <c r="D143" s="15" t="s">
        <v>24</v>
      </c>
      <c r="E143" s="15" t="s">
        <v>28</v>
      </c>
      <c r="F143" s="15" t="s">
        <v>32</v>
      </c>
      <c r="G143" s="15" t="s">
        <v>37</v>
      </c>
      <c r="H143" s="16">
        <v>115</v>
      </c>
      <c r="I143" s="17">
        <v>51.93</v>
      </c>
      <c r="J143" s="18">
        <v>2.5000000000000001E-2</v>
      </c>
      <c r="K143" s="17">
        <v>5971.88</v>
      </c>
      <c r="L143" s="17">
        <v>5822.58</v>
      </c>
      <c r="M143" s="17">
        <v>7.16</v>
      </c>
      <c r="N143" s="17">
        <v>822.83</v>
      </c>
      <c r="O143" s="17">
        <v>4999.76</v>
      </c>
      <c r="P143" s="18">
        <v>0.85870000000000002</v>
      </c>
      <c r="Q143" s="17">
        <v>243.45</v>
      </c>
      <c r="R143" s="15" t="s">
        <v>23</v>
      </c>
    </row>
    <row r="144" spans="1:18" ht="14.25" customHeight="1" x14ac:dyDescent="0.3">
      <c r="A144" s="14">
        <v>45078</v>
      </c>
      <c r="B144" s="15">
        <v>2023</v>
      </c>
      <c r="C144" s="15" t="s">
        <v>43</v>
      </c>
      <c r="D144" s="15" t="s">
        <v>27</v>
      </c>
      <c r="E144" s="15" t="s">
        <v>20</v>
      </c>
      <c r="F144" s="15" t="s">
        <v>21</v>
      </c>
      <c r="G144" s="15" t="s">
        <v>37</v>
      </c>
      <c r="H144" s="16">
        <v>214</v>
      </c>
      <c r="I144" s="17">
        <v>52.45</v>
      </c>
      <c r="J144" s="18">
        <v>7.0000000000000007E-2</v>
      </c>
      <c r="K144" s="17">
        <v>11223.48</v>
      </c>
      <c r="L144" s="17">
        <v>10437.83</v>
      </c>
      <c r="M144" s="17">
        <v>7.16</v>
      </c>
      <c r="N144" s="17">
        <v>1531.17</v>
      </c>
      <c r="O144" s="17">
        <v>8906.66</v>
      </c>
      <c r="P144" s="18">
        <v>0.85329999999999995</v>
      </c>
      <c r="Q144" s="17">
        <v>368.81</v>
      </c>
      <c r="R144" s="15" t="s">
        <v>23</v>
      </c>
    </row>
    <row r="145" spans="1:18" ht="14.25" customHeight="1" x14ac:dyDescent="0.3">
      <c r="A145" s="14">
        <v>45078</v>
      </c>
      <c r="B145" s="15">
        <v>2023</v>
      </c>
      <c r="C145" s="15" t="s">
        <v>43</v>
      </c>
      <c r="D145" s="15" t="s">
        <v>30</v>
      </c>
      <c r="E145" s="15" t="s">
        <v>25</v>
      </c>
      <c r="F145" s="15" t="s">
        <v>26</v>
      </c>
      <c r="G145" s="15" t="s">
        <v>37</v>
      </c>
      <c r="H145" s="16">
        <v>120</v>
      </c>
      <c r="I145" s="17">
        <v>50.9</v>
      </c>
      <c r="J145" s="18">
        <v>0.04</v>
      </c>
      <c r="K145" s="17">
        <v>6107.51</v>
      </c>
      <c r="L145" s="17">
        <v>5863.2</v>
      </c>
      <c r="M145" s="17">
        <v>7.16</v>
      </c>
      <c r="N145" s="17">
        <v>858.6</v>
      </c>
      <c r="O145" s="17">
        <v>5004.6000000000004</v>
      </c>
      <c r="P145" s="18">
        <v>0.85360000000000003</v>
      </c>
      <c r="Q145" s="17">
        <v>230.1</v>
      </c>
      <c r="R145" s="15" t="s">
        <v>23</v>
      </c>
    </row>
    <row r="146" spans="1:18" ht="14.25" customHeight="1" x14ac:dyDescent="0.3">
      <c r="A146" s="14">
        <v>45108</v>
      </c>
      <c r="B146" s="15">
        <v>2023</v>
      </c>
      <c r="C146" s="15" t="s">
        <v>44</v>
      </c>
      <c r="D146" s="15" t="s">
        <v>19</v>
      </c>
      <c r="E146" s="15" t="s">
        <v>28</v>
      </c>
      <c r="F146" s="15" t="s">
        <v>29</v>
      </c>
      <c r="G146" s="15" t="s">
        <v>22</v>
      </c>
      <c r="H146" s="16">
        <v>97</v>
      </c>
      <c r="I146" s="17">
        <v>490.44</v>
      </c>
      <c r="J146" s="18">
        <v>6.5000000000000002E-2</v>
      </c>
      <c r="K146" s="17">
        <v>47572.24</v>
      </c>
      <c r="L146" s="17">
        <v>44480.05</v>
      </c>
      <c r="M146" s="17">
        <v>369.68</v>
      </c>
      <c r="N146" s="17">
        <v>35858.47</v>
      </c>
      <c r="O146" s="17">
        <v>8621.58</v>
      </c>
      <c r="P146" s="18">
        <v>0.1938</v>
      </c>
      <c r="Q146" s="17">
        <v>1119.96</v>
      </c>
      <c r="R146" s="15" t="s">
        <v>40</v>
      </c>
    </row>
    <row r="147" spans="1:18" ht="14.25" customHeight="1" x14ac:dyDescent="0.3">
      <c r="A147" s="14">
        <v>45108</v>
      </c>
      <c r="B147" s="15">
        <v>2023</v>
      </c>
      <c r="C147" s="15" t="s">
        <v>44</v>
      </c>
      <c r="D147" s="15" t="s">
        <v>24</v>
      </c>
      <c r="E147" s="15" t="s">
        <v>31</v>
      </c>
      <c r="F147" s="15" t="s">
        <v>32</v>
      </c>
      <c r="G147" s="15" t="s">
        <v>22</v>
      </c>
      <c r="H147" s="16">
        <v>194</v>
      </c>
      <c r="I147" s="17">
        <v>495.36</v>
      </c>
      <c r="J147" s="18">
        <v>0.14499999999999999</v>
      </c>
      <c r="K147" s="17">
        <v>96100.71</v>
      </c>
      <c r="L147" s="17">
        <v>82166.11</v>
      </c>
      <c r="M147" s="17">
        <v>369.68</v>
      </c>
      <c r="N147" s="17">
        <v>71716.95</v>
      </c>
      <c r="O147" s="17">
        <v>10449.16</v>
      </c>
      <c r="P147" s="18">
        <v>0.12720000000000001</v>
      </c>
      <c r="Q147" s="17">
        <v>1110.23</v>
      </c>
      <c r="R147" s="15" t="s">
        <v>40</v>
      </c>
    </row>
    <row r="148" spans="1:18" ht="14.25" customHeight="1" x14ac:dyDescent="0.3">
      <c r="A148" s="14">
        <v>45108</v>
      </c>
      <c r="B148" s="15">
        <v>2023</v>
      </c>
      <c r="C148" s="15" t="s">
        <v>44</v>
      </c>
      <c r="D148" s="15" t="s">
        <v>27</v>
      </c>
      <c r="E148" s="15" t="s">
        <v>20</v>
      </c>
      <c r="F148" s="15" t="s">
        <v>21</v>
      </c>
      <c r="G148" s="15" t="s">
        <v>22</v>
      </c>
      <c r="H148" s="16">
        <v>206</v>
      </c>
      <c r="I148" s="17">
        <v>500.29</v>
      </c>
      <c r="J148" s="18">
        <v>0.11</v>
      </c>
      <c r="K148" s="17">
        <v>103060.46</v>
      </c>
      <c r="L148" s="17">
        <v>91723.81</v>
      </c>
      <c r="M148" s="17">
        <v>369.68</v>
      </c>
      <c r="N148" s="17">
        <v>76153.05</v>
      </c>
      <c r="O148" s="17">
        <v>15570.76</v>
      </c>
      <c r="P148" s="18">
        <v>0.16980000000000001</v>
      </c>
      <c r="Q148" s="17">
        <v>1739.25</v>
      </c>
      <c r="R148" s="15" t="s">
        <v>40</v>
      </c>
    </row>
    <row r="149" spans="1:18" ht="14.25" customHeight="1" x14ac:dyDescent="0.3">
      <c r="A149" s="14">
        <v>45108</v>
      </c>
      <c r="B149" s="15">
        <v>2023</v>
      </c>
      <c r="C149" s="15" t="s">
        <v>44</v>
      </c>
      <c r="D149" s="15" t="s">
        <v>30</v>
      </c>
      <c r="E149" s="15" t="s">
        <v>25</v>
      </c>
      <c r="F149" s="15" t="s">
        <v>26</v>
      </c>
      <c r="G149" s="15" t="s">
        <v>22</v>
      </c>
      <c r="H149" s="16">
        <v>122</v>
      </c>
      <c r="I149" s="17">
        <v>485.51</v>
      </c>
      <c r="J149" s="18">
        <v>0.08</v>
      </c>
      <c r="K149" s="17">
        <v>59231.79</v>
      </c>
      <c r="L149" s="17">
        <v>54493.25</v>
      </c>
      <c r="M149" s="17">
        <v>369.68</v>
      </c>
      <c r="N149" s="17">
        <v>45100.35</v>
      </c>
      <c r="O149" s="17">
        <v>9392.9</v>
      </c>
      <c r="P149" s="18">
        <v>0.1724</v>
      </c>
      <c r="Q149" s="17">
        <v>1185.46</v>
      </c>
      <c r="R149" s="15" t="s">
        <v>40</v>
      </c>
    </row>
    <row r="150" spans="1:18" ht="14.25" customHeight="1" x14ac:dyDescent="0.3">
      <c r="A150" s="14">
        <v>45108</v>
      </c>
      <c r="B150" s="15">
        <v>2023</v>
      </c>
      <c r="C150" s="15" t="s">
        <v>44</v>
      </c>
      <c r="D150" s="15" t="s">
        <v>19</v>
      </c>
      <c r="E150" s="15" t="s">
        <v>31</v>
      </c>
      <c r="F150" s="15" t="s">
        <v>32</v>
      </c>
      <c r="G150" s="15" t="s">
        <v>33</v>
      </c>
      <c r="H150" s="16">
        <v>134</v>
      </c>
      <c r="I150" s="17">
        <v>696.1</v>
      </c>
      <c r="J150" s="18">
        <v>0.14499999999999999</v>
      </c>
      <c r="K150" s="17">
        <v>93277.67</v>
      </c>
      <c r="L150" s="17">
        <v>79752.399999999994</v>
      </c>
      <c r="M150" s="17">
        <v>548.54999999999995</v>
      </c>
      <c r="N150" s="17">
        <v>73505.7</v>
      </c>
      <c r="O150" s="17">
        <v>6246.7</v>
      </c>
      <c r="P150" s="18">
        <v>7.8299999999999995E-2</v>
      </c>
      <c r="Q150" s="17">
        <v>966.7</v>
      </c>
      <c r="R150" s="15" t="s">
        <v>40</v>
      </c>
    </row>
    <row r="151" spans="1:18" ht="14.25" customHeight="1" x14ac:dyDescent="0.3">
      <c r="A151" s="14">
        <v>45108</v>
      </c>
      <c r="B151" s="15">
        <v>2023</v>
      </c>
      <c r="C151" s="15" t="s">
        <v>44</v>
      </c>
      <c r="D151" s="15" t="s">
        <v>24</v>
      </c>
      <c r="E151" s="15" t="s">
        <v>20</v>
      </c>
      <c r="F151" s="15" t="s">
        <v>21</v>
      </c>
      <c r="G151" s="15" t="s">
        <v>33</v>
      </c>
      <c r="H151" s="16">
        <v>127</v>
      </c>
      <c r="I151" s="17">
        <v>703.1</v>
      </c>
      <c r="J151" s="18">
        <v>0.11</v>
      </c>
      <c r="K151" s="17">
        <v>89293.45</v>
      </c>
      <c r="L151" s="17">
        <v>79471.17</v>
      </c>
      <c r="M151" s="17">
        <v>548.54999999999995</v>
      </c>
      <c r="N151" s="17">
        <v>69665.850000000006</v>
      </c>
      <c r="O151" s="17">
        <v>9805.32</v>
      </c>
      <c r="P151" s="18">
        <v>0.1234</v>
      </c>
      <c r="Q151" s="17">
        <v>1762.09</v>
      </c>
      <c r="R151" s="15" t="s">
        <v>40</v>
      </c>
    </row>
    <row r="152" spans="1:18" ht="14.25" customHeight="1" x14ac:dyDescent="0.3">
      <c r="A152" s="14">
        <v>45108</v>
      </c>
      <c r="B152" s="15">
        <v>2023</v>
      </c>
      <c r="C152" s="15" t="s">
        <v>44</v>
      </c>
      <c r="D152" s="15" t="s">
        <v>27</v>
      </c>
      <c r="E152" s="15" t="s">
        <v>25</v>
      </c>
      <c r="F152" s="15" t="s">
        <v>26</v>
      </c>
      <c r="G152" s="15" t="s">
        <v>33</v>
      </c>
      <c r="H152" s="16">
        <v>136</v>
      </c>
      <c r="I152" s="17">
        <v>710.09</v>
      </c>
      <c r="J152" s="18">
        <v>0.08</v>
      </c>
      <c r="K152" s="17">
        <v>96572.78</v>
      </c>
      <c r="L152" s="17">
        <v>88846.96</v>
      </c>
      <c r="M152" s="17">
        <v>548.54999999999995</v>
      </c>
      <c r="N152" s="17">
        <v>74602.8</v>
      </c>
      <c r="O152" s="17">
        <v>14244.16</v>
      </c>
      <c r="P152" s="18">
        <v>0.1603</v>
      </c>
      <c r="Q152" s="17">
        <v>1508.03</v>
      </c>
      <c r="R152" s="15" t="s">
        <v>40</v>
      </c>
    </row>
    <row r="153" spans="1:18" ht="14.25" customHeight="1" x14ac:dyDescent="0.3">
      <c r="A153" s="14">
        <v>45108</v>
      </c>
      <c r="B153" s="15">
        <v>2023</v>
      </c>
      <c r="C153" s="15" t="s">
        <v>44</v>
      </c>
      <c r="D153" s="15" t="s">
        <v>30</v>
      </c>
      <c r="E153" s="15" t="s">
        <v>28</v>
      </c>
      <c r="F153" s="15" t="s">
        <v>29</v>
      </c>
      <c r="G153" s="15" t="s">
        <v>33</v>
      </c>
      <c r="H153" s="16">
        <v>57</v>
      </c>
      <c r="I153" s="17">
        <v>689.11</v>
      </c>
      <c r="J153" s="18">
        <v>6.5000000000000002E-2</v>
      </c>
      <c r="K153" s="17">
        <v>39279.040000000001</v>
      </c>
      <c r="L153" s="17">
        <v>36725.910000000003</v>
      </c>
      <c r="M153" s="17">
        <v>548.54999999999995</v>
      </c>
      <c r="N153" s="17">
        <v>31267.35</v>
      </c>
      <c r="O153" s="17">
        <v>5458.56</v>
      </c>
      <c r="P153" s="18">
        <v>0.14860000000000001</v>
      </c>
      <c r="Q153" s="17">
        <v>1010.11</v>
      </c>
      <c r="R153" s="15" t="s">
        <v>40</v>
      </c>
    </row>
    <row r="154" spans="1:18" ht="14.25" customHeight="1" x14ac:dyDescent="0.3">
      <c r="A154" s="14">
        <v>45108</v>
      </c>
      <c r="B154" s="15">
        <v>2023</v>
      </c>
      <c r="C154" s="15" t="s">
        <v>44</v>
      </c>
      <c r="D154" s="15" t="s">
        <v>19</v>
      </c>
      <c r="E154" s="15" t="s">
        <v>31</v>
      </c>
      <c r="F154" s="15" t="s">
        <v>32</v>
      </c>
      <c r="G154" s="15" t="s">
        <v>34</v>
      </c>
      <c r="H154" s="16">
        <v>246</v>
      </c>
      <c r="I154" s="17">
        <v>221.49</v>
      </c>
      <c r="J154" s="18">
        <v>0.14499999999999999</v>
      </c>
      <c r="K154" s="17">
        <v>54485.8</v>
      </c>
      <c r="L154" s="17">
        <v>46585.36</v>
      </c>
      <c r="M154" s="17">
        <v>151.05000000000001</v>
      </c>
      <c r="N154" s="17">
        <v>37158.300000000003</v>
      </c>
      <c r="O154" s="17">
        <v>9427.06</v>
      </c>
      <c r="P154" s="18">
        <v>0.2024</v>
      </c>
      <c r="Q154" s="17">
        <v>686.94</v>
      </c>
      <c r="R154" s="15" t="s">
        <v>40</v>
      </c>
    </row>
    <row r="155" spans="1:18" ht="14.25" customHeight="1" x14ac:dyDescent="0.3">
      <c r="A155" s="14">
        <v>45108</v>
      </c>
      <c r="B155" s="15">
        <v>2023</v>
      </c>
      <c r="C155" s="15" t="s">
        <v>44</v>
      </c>
      <c r="D155" s="15" t="s">
        <v>24</v>
      </c>
      <c r="E155" s="15" t="s">
        <v>20</v>
      </c>
      <c r="F155" s="15" t="s">
        <v>26</v>
      </c>
      <c r="G155" s="15" t="s">
        <v>34</v>
      </c>
      <c r="H155" s="16">
        <v>272</v>
      </c>
      <c r="I155" s="17">
        <v>223.71</v>
      </c>
      <c r="J155" s="18">
        <v>0.11</v>
      </c>
      <c r="K155" s="17">
        <v>60849.94</v>
      </c>
      <c r="L155" s="17">
        <v>54156.44</v>
      </c>
      <c r="M155" s="17">
        <v>151.05000000000001</v>
      </c>
      <c r="N155" s="17">
        <v>41085.599999999999</v>
      </c>
      <c r="O155" s="17">
        <v>13070.84</v>
      </c>
      <c r="P155" s="18">
        <v>0.2414</v>
      </c>
      <c r="Q155" s="17">
        <v>1241.51</v>
      </c>
      <c r="R155" s="15" t="s">
        <v>40</v>
      </c>
    </row>
    <row r="156" spans="1:18" ht="14.25" customHeight="1" x14ac:dyDescent="0.3">
      <c r="A156" s="14">
        <v>45108</v>
      </c>
      <c r="B156" s="15">
        <v>2023</v>
      </c>
      <c r="C156" s="15" t="s">
        <v>44</v>
      </c>
      <c r="D156" s="15" t="s">
        <v>27</v>
      </c>
      <c r="E156" s="15" t="s">
        <v>25</v>
      </c>
      <c r="F156" s="15" t="s">
        <v>21</v>
      </c>
      <c r="G156" s="15" t="s">
        <v>34</v>
      </c>
      <c r="H156" s="16">
        <v>235</v>
      </c>
      <c r="I156" s="17">
        <v>225.94</v>
      </c>
      <c r="J156" s="18">
        <v>0.08</v>
      </c>
      <c r="K156" s="17">
        <v>53095.67</v>
      </c>
      <c r="L156" s="17">
        <v>48848.01</v>
      </c>
      <c r="M156" s="17">
        <v>151.05000000000001</v>
      </c>
      <c r="N156" s="17">
        <v>35496.75</v>
      </c>
      <c r="O156" s="17">
        <v>13351.26</v>
      </c>
      <c r="P156" s="18">
        <v>0.27329999999999999</v>
      </c>
      <c r="Q156" s="17">
        <v>1087.8599999999999</v>
      </c>
      <c r="R156" s="15" t="s">
        <v>40</v>
      </c>
    </row>
    <row r="157" spans="1:18" ht="14.25" customHeight="1" x14ac:dyDescent="0.3">
      <c r="A157" s="14">
        <v>45108</v>
      </c>
      <c r="B157" s="15">
        <v>2023</v>
      </c>
      <c r="C157" s="15" t="s">
        <v>44</v>
      </c>
      <c r="D157" s="15" t="s">
        <v>30</v>
      </c>
      <c r="E157" s="15" t="s">
        <v>31</v>
      </c>
      <c r="F157" s="15" t="s">
        <v>32</v>
      </c>
      <c r="G157" s="15" t="s">
        <v>34</v>
      </c>
      <c r="H157" s="16">
        <v>211</v>
      </c>
      <c r="I157" s="17">
        <v>219.26</v>
      </c>
      <c r="J157" s="18">
        <v>0.14499999999999999</v>
      </c>
      <c r="K157" s="17">
        <v>46264.07</v>
      </c>
      <c r="L157" s="17">
        <v>39555.78</v>
      </c>
      <c r="M157" s="17">
        <v>151.05000000000001</v>
      </c>
      <c r="N157" s="17">
        <v>31871.55</v>
      </c>
      <c r="O157" s="17">
        <v>7684.23</v>
      </c>
      <c r="P157" s="18">
        <v>0.1943</v>
      </c>
      <c r="Q157" s="17">
        <v>608.63</v>
      </c>
      <c r="R157" s="15" t="s">
        <v>40</v>
      </c>
    </row>
    <row r="158" spans="1:18" ht="14.25" customHeight="1" x14ac:dyDescent="0.3">
      <c r="A158" s="14">
        <v>45108</v>
      </c>
      <c r="B158" s="15">
        <v>2023</v>
      </c>
      <c r="C158" s="15" t="s">
        <v>44</v>
      </c>
      <c r="D158" s="15" t="s">
        <v>19</v>
      </c>
      <c r="E158" s="15" t="s">
        <v>20</v>
      </c>
      <c r="F158" s="15" t="s">
        <v>26</v>
      </c>
      <c r="G158" s="15" t="s">
        <v>35</v>
      </c>
      <c r="H158" s="16">
        <v>893</v>
      </c>
      <c r="I158" s="17">
        <v>11.07</v>
      </c>
      <c r="J158" s="18">
        <v>0.11</v>
      </c>
      <c r="K158" s="17">
        <v>9889.39</v>
      </c>
      <c r="L158" s="17">
        <v>8801.56</v>
      </c>
      <c r="M158" s="17">
        <v>5.57</v>
      </c>
      <c r="N158" s="17">
        <v>4969.55</v>
      </c>
      <c r="O158" s="17">
        <v>3832.02</v>
      </c>
      <c r="P158" s="18">
        <v>0.43540000000000001</v>
      </c>
      <c r="Q158" s="17">
        <v>510.91</v>
      </c>
      <c r="R158" s="15" t="s">
        <v>40</v>
      </c>
    </row>
    <row r="159" spans="1:18" ht="14.25" customHeight="1" x14ac:dyDescent="0.3">
      <c r="A159" s="14">
        <v>45108</v>
      </c>
      <c r="B159" s="15">
        <v>2023</v>
      </c>
      <c r="C159" s="15" t="s">
        <v>44</v>
      </c>
      <c r="D159" s="15" t="s">
        <v>24</v>
      </c>
      <c r="E159" s="15" t="s">
        <v>25</v>
      </c>
      <c r="F159" s="15" t="s">
        <v>21</v>
      </c>
      <c r="G159" s="15" t="s">
        <v>35</v>
      </c>
      <c r="H159" s="16">
        <v>775</v>
      </c>
      <c r="I159" s="17">
        <v>11.19</v>
      </c>
      <c r="J159" s="18">
        <v>0.08</v>
      </c>
      <c r="K159" s="17">
        <v>8668.8799999999992</v>
      </c>
      <c r="L159" s="17">
        <v>7975.37</v>
      </c>
      <c r="M159" s="17">
        <v>5.57</v>
      </c>
      <c r="N159" s="17">
        <v>4312.88</v>
      </c>
      <c r="O159" s="17">
        <v>3662.49</v>
      </c>
      <c r="P159" s="18">
        <v>0.4592</v>
      </c>
      <c r="Q159" s="17">
        <v>497.81</v>
      </c>
      <c r="R159" s="15" t="s">
        <v>40</v>
      </c>
    </row>
    <row r="160" spans="1:18" ht="14.25" customHeight="1" x14ac:dyDescent="0.3">
      <c r="A160" s="14">
        <v>45108</v>
      </c>
      <c r="B160" s="15">
        <v>2023</v>
      </c>
      <c r="C160" s="15" t="s">
        <v>44</v>
      </c>
      <c r="D160" s="15" t="s">
        <v>27</v>
      </c>
      <c r="E160" s="15" t="s">
        <v>31</v>
      </c>
      <c r="F160" s="15" t="s">
        <v>32</v>
      </c>
      <c r="G160" s="15" t="s">
        <v>35</v>
      </c>
      <c r="H160" s="16">
        <v>1088</v>
      </c>
      <c r="I160" s="17">
        <v>11.3</v>
      </c>
      <c r="J160" s="18">
        <v>0.14499999999999999</v>
      </c>
      <c r="K160" s="17">
        <v>12291.08</v>
      </c>
      <c r="L160" s="17">
        <v>10508.87</v>
      </c>
      <c r="M160" s="17">
        <v>5.57</v>
      </c>
      <c r="N160" s="17">
        <v>6054.72</v>
      </c>
      <c r="O160" s="17">
        <v>4454.1499999999996</v>
      </c>
      <c r="P160" s="18">
        <v>0.42380000000000001</v>
      </c>
      <c r="Q160" s="17">
        <v>379.26</v>
      </c>
      <c r="R160" s="15" t="s">
        <v>40</v>
      </c>
    </row>
    <row r="161" spans="1:18" ht="14.25" customHeight="1" x14ac:dyDescent="0.3">
      <c r="A161" s="14">
        <v>45108</v>
      </c>
      <c r="B161" s="15">
        <v>2023</v>
      </c>
      <c r="C161" s="15" t="s">
        <v>44</v>
      </c>
      <c r="D161" s="15" t="s">
        <v>30</v>
      </c>
      <c r="E161" s="15" t="s">
        <v>20</v>
      </c>
      <c r="F161" s="15" t="s">
        <v>21</v>
      </c>
      <c r="G161" s="15" t="s">
        <v>35</v>
      </c>
      <c r="H161" s="16">
        <v>625</v>
      </c>
      <c r="I161" s="17">
        <v>10.96</v>
      </c>
      <c r="J161" s="18">
        <v>0.11</v>
      </c>
      <c r="K161" s="17">
        <v>6851.91</v>
      </c>
      <c r="L161" s="17">
        <v>6098.2</v>
      </c>
      <c r="M161" s="17">
        <v>5.57</v>
      </c>
      <c r="N161" s="17">
        <v>3478.12</v>
      </c>
      <c r="O161" s="17">
        <v>2620.0700000000002</v>
      </c>
      <c r="P161" s="18">
        <v>0.42959999999999998</v>
      </c>
      <c r="Q161" s="17">
        <v>480.33</v>
      </c>
      <c r="R161" s="15" t="s">
        <v>40</v>
      </c>
    </row>
    <row r="162" spans="1:18" ht="14.25" customHeight="1" x14ac:dyDescent="0.3">
      <c r="A162" s="14">
        <v>45108</v>
      </c>
      <c r="B162" s="15">
        <v>2023</v>
      </c>
      <c r="C162" s="15" t="s">
        <v>44</v>
      </c>
      <c r="D162" s="15" t="s">
        <v>19</v>
      </c>
      <c r="E162" s="15" t="s">
        <v>28</v>
      </c>
      <c r="F162" s="15" t="s">
        <v>29</v>
      </c>
      <c r="G162" s="15" t="s">
        <v>36</v>
      </c>
      <c r="H162" s="16">
        <v>158</v>
      </c>
      <c r="I162" s="17">
        <v>67.239999999999995</v>
      </c>
      <c r="J162" s="18">
        <v>0.05</v>
      </c>
      <c r="K162" s="17">
        <v>10624.09</v>
      </c>
      <c r="L162" s="17">
        <v>10092.89</v>
      </c>
      <c r="M162" s="17">
        <v>14.31</v>
      </c>
      <c r="N162" s="17">
        <v>2260.98</v>
      </c>
      <c r="O162" s="17">
        <v>7831.91</v>
      </c>
      <c r="P162" s="18">
        <v>0.77600000000000002</v>
      </c>
      <c r="Q162" s="17">
        <v>569.97</v>
      </c>
      <c r="R162" s="15" t="s">
        <v>40</v>
      </c>
    </row>
    <row r="163" spans="1:18" ht="14.25" customHeight="1" x14ac:dyDescent="0.3">
      <c r="A163" s="14">
        <v>45108</v>
      </c>
      <c r="B163" s="15">
        <v>2023</v>
      </c>
      <c r="C163" s="15" t="s">
        <v>44</v>
      </c>
      <c r="D163" s="15" t="s">
        <v>24</v>
      </c>
      <c r="E163" s="15" t="s">
        <v>31</v>
      </c>
      <c r="F163" s="15" t="s">
        <v>32</v>
      </c>
      <c r="G163" s="15" t="s">
        <v>36</v>
      </c>
      <c r="H163" s="16">
        <v>332</v>
      </c>
      <c r="I163" s="17">
        <v>67.91</v>
      </c>
      <c r="J163" s="18">
        <v>0.13</v>
      </c>
      <c r="K163" s="17">
        <v>22545.75</v>
      </c>
      <c r="L163" s="17">
        <v>19614.8</v>
      </c>
      <c r="M163" s="17">
        <v>14.31</v>
      </c>
      <c r="N163" s="17">
        <v>4750.92</v>
      </c>
      <c r="O163" s="17">
        <v>14863.88</v>
      </c>
      <c r="P163" s="18">
        <v>0.75780000000000003</v>
      </c>
      <c r="Q163" s="17">
        <v>539.17999999999995</v>
      </c>
      <c r="R163" s="15" t="s">
        <v>40</v>
      </c>
    </row>
    <row r="164" spans="1:18" ht="14.25" customHeight="1" x14ac:dyDescent="0.3">
      <c r="A164" s="14">
        <v>45108</v>
      </c>
      <c r="B164" s="15">
        <v>2023</v>
      </c>
      <c r="C164" s="15" t="s">
        <v>44</v>
      </c>
      <c r="D164" s="15" t="s">
        <v>27</v>
      </c>
      <c r="E164" s="15" t="s">
        <v>20</v>
      </c>
      <c r="F164" s="15" t="s">
        <v>21</v>
      </c>
      <c r="G164" s="15" t="s">
        <v>36</v>
      </c>
      <c r="H164" s="16">
        <v>296</v>
      </c>
      <c r="I164" s="17">
        <v>68.59</v>
      </c>
      <c r="J164" s="18">
        <v>9.5000000000000001E-2</v>
      </c>
      <c r="K164" s="17">
        <v>20303.41</v>
      </c>
      <c r="L164" s="17">
        <v>18374.59</v>
      </c>
      <c r="M164" s="17">
        <v>14.31</v>
      </c>
      <c r="N164" s="17">
        <v>4235.76</v>
      </c>
      <c r="O164" s="17">
        <v>14138.83</v>
      </c>
      <c r="P164" s="18">
        <v>0.76949999999999996</v>
      </c>
      <c r="Q164" s="17">
        <v>869.83</v>
      </c>
      <c r="R164" s="15" t="s">
        <v>40</v>
      </c>
    </row>
    <row r="165" spans="1:18" ht="14.25" customHeight="1" x14ac:dyDescent="0.3">
      <c r="A165" s="14">
        <v>45108</v>
      </c>
      <c r="B165" s="15">
        <v>2023</v>
      </c>
      <c r="C165" s="15" t="s">
        <v>44</v>
      </c>
      <c r="D165" s="15" t="s">
        <v>30</v>
      </c>
      <c r="E165" s="15" t="s">
        <v>28</v>
      </c>
      <c r="F165" s="15" t="s">
        <v>32</v>
      </c>
      <c r="G165" s="15" t="s">
        <v>36</v>
      </c>
      <c r="H165" s="16">
        <v>116</v>
      </c>
      <c r="I165" s="17">
        <v>66.56</v>
      </c>
      <c r="J165" s="18">
        <v>0.05</v>
      </c>
      <c r="K165" s="17">
        <v>7720.66</v>
      </c>
      <c r="L165" s="17">
        <v>7334.62</v>
      </c>
      <c r="M165" s="17">
        <v>14.31</v>
      </c>
      <c r="N165" s="17">
        <v>1659.96</v>
      </c>
      <c r="O165" s="17">
        <v>5674.66</v>
      </c>
      <c r="P165" s="18">
        <v>0.77370000000000005</v>
      </c>
      <c r="Q165" s="17">
        <v>499.82</v>
      </c>
      <c r="R165" s="15" t="s">
        <v>40</v>
      </c>
    </row>
    <row r="166" spans="1:18" ht="14.25" customHeight="1" x14ac:dyDescent="0.3">
      <c r="A166" s="14">
        <v>45108</v>
      </c>
      <c r="B166" s="15">
        <v>2023</v>
      </c>
      <c r="C166" s="15" t="s">
        <v>44</v>
      </c>
      <c r="D166" s="15" t="s">
        <v>19</v>
      </c>
      <c r="E166" s="15" t="s">
        <v>28</v>
      </c>
      <c r="F166" s="15" t="s">
        <v>32</v>
      </c>
      <c r="G166" s="15" t="s">
        <v>37</v>
      </c>
      <c r="H166" s="16">
        <v>138</v>
      </c>
      <c r="I166" s="17">
        <v>51.42</v>
      </c>
      <c r="J166" s="18">
        <v>0.05</v>
      </c>
      <c r="K166" s="17">
        <v>7096.04</v>
      </c>
      <c r="L166" s="17">
        <v>6741.24</v>
      </c>
      <c r="M166" s="17">
        <v>7.16</v>
      </c>
      <c r="N166" s="17">
        <v>987.39</v>
      </c>
      <c r="O166" s="17">
        <v>5753.85</v>
      </c>
      <c r="P166" s="18">
        <v>0.85350000000000004</v>
      </c>
      <c r="Q166" s="17">
        <v>347.72</v>
      </c>
      <c r="R166" s="15" t="s">
        <v>40</v>
      </c>
    </row>
    <row r="167" spans="1:18" ht="14.25" customHeight="1" x14ac:dyDescent="0.3">
      <c r="A167" s="14">
        <v>45108</v>
      </c>
      <c r="B167" s="15">
        <v>2023</v>
      </c>
      <c r="C167" s="15" t="s">
        <v>44</v>
      </c>
      <c r="D167" s="15" t="s">
        <v>24</v>
      </c>
      <c r="E167" s="15" t="s">
        <v>20</v>
      </c>
      <c r="F167" s="15" t="s">
        <v>21</v>
      </c>
      <c r="G167" s="15" t="s">
        <v>37</v>
      </c>
      <c r="H167" s="16">
        <v>265</v>
      </c>
      <c r="I167" s="17">
        <v>51.93</v>
      </c>
      <c r="J167" s="18">
        <v>9.5000000000000001E-2</v>
      </c>
      <c r="K167" s="17">
        <v>13761.29</v>
      </c>
      <c r="L167" s="17">
        <v>12453.97</v>
      </c>
      <c r="M167" s="17">
        <v>7.16</v>
      </c>
      <c r="N167" s="17">
        <v>1896.08</v>
      </c>
      <c r="O167" s="17">
        <v>10557.89</v>
      </c>
      <c r="P167" s="18">
        <v>0.8478</v>
      </c>
      <c r="Q167" s="17">
        <v>497.12</v>
      </c>
      <c r="R167" s="15" t="s">
        <v>40</v>
      </c>
    </row>
    <row r="168" spans="1:18" ht="14.25" customHeight="1" x14ac:dyDescent="0.3">
      <c r="A168" s="14">
        <v>45108</v>
      </c>
      <c r="B168" s="15">
        <v>2023</v>
      </c>
      <c r="C168" s="15" t="s">
        <v>44</v>
      </c>
      <c r="D168" s="15" t="s">
        <v>27</v>
      </c>
      <c r="E168" s="15" t="s">
        <v>25</v>
      </c>
      <c r="F168" s="15" t="s">
        <v>26</v>
      </c>
      <c r="G168" s="15" t="s">
        <v>37</v>
      </c>
      <c r="H168" s="16">
        <v>259</v>
      </c>
      <c r="I168" s="17">
        <v>52.45</v>
      </c>
      <c r="J168" s="18">
        <v>6.5000000000000002E-2</v>
      </c>
      <c r="K168" s="17">
        <v>13583.55</v>
      </c>
      <c r="L168" s="17">
        <v>12700.63</v>
      </c>
      <c r="M168" s="17">
        <v>7.16</v>
      </c>
      <c r="N168" s="17">
        <v>1853.15</v>
      </c>
      <c r="O168" s="17">
        <v>10847.48</v>
      </c>
      <c r="P168" s="18">
        <v>0.85409999999999997</v>
      </c>
      <c r="Q168" s="17">
        <v>431.24</v>
      </c>
      <c r="R168" s="15" t="s">
        <v>40</v>
      </c>
    </row>
    <row r="169" spans="1:18" ht="14.25" customHeight="1" x14ac:dyDescent="0.3">
      <c r="A169" s="14">
        <v>45108</v>
      </c>
      <c r="B169" s="15">
        <v>2023</v>
      </c>
      <c r="C169" s="15" t="s">
        <v>44</v>
      </c>
      <c r="D169" s="15" t="s">
        <v>30</v>
      </c>
      <c r="E169" s="15" t="s">
        <v>28</v>
      </c>
      <c r="F169" s="15" t="s">
        <v>29</v>
      </c>
      <c r="G169" s="15" t="s">
        <v>37</v>
      </c>
      <c r="H169" s="16">
        <v>109</v>
      </c>
      <c r="I169" s="17">
        <v>50.9</v>
      </c>
      <c r="J169" s="18">
        <v>0.05</v>
      </c>
      <c r="K169" s="17">
        <v>5547.65</v>
      </c>
      <c r="L169" s="17">
        <v>5270.27</v>
      </c>
      <c r="M169" s="17">
        <v>7.16</v>
      </c>
      <c r="N169" s="17">
        <v>779.9</v>
      </c>
      <c r="O169" s="17">
        <v>4490.37</v>
      </c>
      <c r="P169" s="18">
        <v>0.85199999999999998</v>
      </c>
      <c r="Q169" s="17">
        <v>305.86</v>
      </c>
      <c r="R169" s="15" t="s">
        <v>40</v>
      </c>
    </row>
    <row r="170" spans="1:18" ht="14.25" customHeight="1" x14ac:dyDescent="0.3">
      <c r="A170" s="14">
        <v>45139</v>
      </c>
      <c r="B170" s="15">
        <v>2023</v>
      </c>
      <c r="C170" s="15" t="s">
        <v>45</v>
      </c>
      <c r="D170" s="15" t="s">
        <v>19</v>
      </c>
      <c r="E170" s="15" t="s">
        <v>31</v>
      </c>
      <c r="F170" s="15" t="s">
        <v>32</v>
      </c>
      <c r="G170" s="15" t="s">
        <v>22</v>
      </c>
      <c r="H170" s="16">
        <v>189</v>
      </c>
      <c r="I170" s="17">
        <v>490.44</v>
      </c>
      <c r="J170" s="18">
        <v>0.14499999999999999</v>
      </c>
      <c r="K170" s="17">
        <v>92692.31</v>
      </c>
      <c r="L170" s="17">
        <v>79251.929999999993</v>
      </c>
      <c r="M170" s="17">
        <v>369.68</v>
      </c>
      <c r="N170" s="17">
        <v>69868.570000000007</v>
      </c>
      <c r="O170" s="17">
        <v>9383.35</v>
      </c>
      <c r="P170" s="18">
        <v>0.11840000000000001</v>
      </c>
      <c r="Q170" s="17">
        <v>1031.6600000000001</v>
      </c>
      <c r="R170" s="15" t="s">
        <v>40</v>
      </c>
    </row>
    <row r="171" spans="1:18" ht="14.25" customHeight="1" x14ac:dyDescent="0.3">
      <c r="A171" s="14">
        <v>45139</v>
      </c>
      <c r="B171" s="15">
        <v>2023</v>
      </c>
      <c r="C171" s="15" t="s">
        <v>45</v>
      </c>
      <c r="D171" s="15" t="s">
        <v>24</v>
      </c>
      <c r="E171" s="15" t="s">
        <v>20</v>
      </c>
      <c r="F171" s="15" t="s">
        <v>21</v>
      </c>
      <c r="G171" s="15" t="s">
        <v>22</v>
      </c>
      <c r="H171" s="16">
        <v>192</v>
      </c>
      <c r="I171" s="17">
        <v>495.36</v>
      </c>
      <c r="J171" s="18">
        <v>0.11</v>
      </c>
      <c r="K171" s="17">
        <v>95109.98</v>
      </c>
      <c r="L171" s="17">
        <v>84647.89</v>
      </c>
      <c r="M171" s="17">
        <v>369.68</v>
      </c>
      <c r="N171" s="17">
        <v>70977.600000000006</v>
      </c>
      <c r="O171" s="17">
        <v>13670.29</v>
      </c>
      <c r="P171" s="18">
        <v>0.1615</v>
      </c>
      <c r="Q171" s="17">
        <v>1683.04</v>
      </c>
      <c r="R171" s="15" t="s">
        <v>40</v>
      </c>
    </row>
    <row r="172" spans="1:18" ht="14.25" customHeight="1" x14ac:dyDescent="0.3">
      <c r="A172" s="14">
        <v>45139</v>
      </c>
      <c r="B172" s="15">
        <v>2023</v>
      </c>
      <c r="C172" s="15" t="s">
        <v>45</v>
      </c>
      <c r="D172" s="15" t="s">
        <v>27</v>
      </c>
      <c r="E172" s="15" t="s">
        <v>25</v>
      </c>
      <c r="F172" s="15" t="s">
        <v>26</v>
      </c>
      <c r="G172" s="15" t="s">
        <v>22</v>
      </c>
      <c r="H172" s="16">
        <v>194</v>
      </c>
      <c r="I172" s="17">
        <v>500.29</v>
      </c>
      <c r="J172" s="18">
        <v>0.08</v>
      </c>
      <c r="K172" s="17">
        <v>97056.94</v>
      </c>
      <c r="L172" s="17">
        <v>89292.38</v>
      </c>
      <c r="M172" s="17">
        <v>369.68</v>
      </c>
      <c r="N172" s="17">
        <v>71716.95</v>
      </c>
      <c r="O172" s="17">
        <v>17575.43</v>
      </c>
      <c r="P172" s="18">
        <v>0.1968</v>
      </c>
      <c r="Q172" s="17">
        <v>1469.8</v>
      </c>
      <c r="R172" s="15" t="s">
        <v>40</v>
      </c>
    </row>
    <row r="173" spans="1:18" ht="14.25" customHeight="1" x14ac:dyDescent="0.3">
      <c r="A173" s="14">
        <v>45139</v>
      </c>
      <c r="B173" s="15">
        <v>2023</v>
      </c>
      <c r="C173" s="15" t="s">
        <v>45</v>
      </c>
      <c r="D173" s="15" t="s">
        <v>30</v>
      </c>
      <c r="E173" s="15" t="s">
        <v>28</v>
      </c>
      <c r="F173" s="15" t="s">
        <v>29</v>
      </c>
      <c r="G173" s="15" t="s">
        <v>22</v>
      </c>
      <c r="H173" s="16">
        <v>75</v>
      </c>
      <c r="I173" s="17">
        <v>485.51</v>
      </c>
      <c r="J173" s="18">
        <v>6.5000000000000002E-2</v>
      </c>
      <c r="K173" s="17">
        <v>36412.99</v>
      </c>
      <c r="L173" s="17">
        <v>34046.15</v>
      </c>
      <c r="M173" s="17">
        <v>369.68</v>
      </c>
      <c r="N173" s="17">
        <v>27725.62</v>
      </c>
      <c r="O173" s="17">
        <v>6320.52</v>
      </c>
      <c r="P173" s="18">
        <v>0.18559999999999999</v>
      </c>
      <c r="Q173" s="17">
        <v>978.85</v>
      </c>
      <c r="R173" s="15" t="s">
        <v>40</v>
      </c>
    </row>
    <row r="174" spans="1:18" ht="14.25" customHeight="1" x14ac:dyDescent="0.3">
      <c r="A174" s="14">
        <v>45139</v>
      </c>
      <c r="B174" s="15">
        <v>2023</v>
      </c>
      <c r="C174" s="15" t="s">
        <v>45</v>
      </c>
      <c r="D174" s="15" t="s">
        <v>19</v>
      </c>
      <c r="E174" s="15" t="s">
        <v>20</v>
      </c>
      <c r="F174" s="15" t="s">
        <v>21</v>
      </c>
      <c r="G174" s="15" t="s">
        <v>33</v>
      </c>
      <c r="H174" s="16">
        <v>123</v>
      </c>
      <c r="I174" s="17">
        <v>696.1</v>
      </c>
      <c r="J174" s="18">
        <v>0.11</v>
      </c>
      <c r="K174" s="17">
        <v>85620.55</v>
      </c>
      <c r="L174" s="17">
        <v>76202.28</v>
      </c>
      <c r="M174" s="17">
        <v>548.54999999999995</v>
      </c>
      <c r="N174" s="17">
        <v>67471.649999999994</v>
      </c>
      <c r="O174" s="17">
        <v>8730.6299999999992</v>
      </c>
      <c r="P174" s="18">
        <v>0.11459999999999999</v>
      </c>
      <c r="Q174" s="17">
        <v>1629.19</v>
      </c>
      <c r="R174" s="15" t="s">
        <v>40</v>
      </c>
    </row>
    <row r="175" spans="1:18" ht="14.25" customHeight="1" x14ac:dyDescent="0.3">
      <c r="A175" s="14">
        <v>45139</v>
      </c>
      <c r="B175" s="15">
        <v>2023</v>
      </c>
      <c r="C175" s="15" t="s">
        <v>45</v>
      </c>
      <c r="D175" s="15" t="s">
        <v>24</v>
      </c>
      <c r="E175" s="15" t="s">
        <v>25</v>
      </c>
      <c r="F175" s="15" t="s">
        <v>26</v>
      </c>
      <c r="G175" s="15" t="s">
        <v>33</v>
      </c>
      <c r="H175" s="16">
        <v>130</v>
      </c>
      <c r="I175" s="17">
        <v>703.1</v>
      </c>
      <c r="J175" s="18">
        <v>0.08</v>
      </c>
      <c r="K175" s="17">
        <v>91402.74</v>
      </c>
      <c r="L175" s="17">
        <v>84090.52</v>
      </c>
      <c r="M175" s="17">
        <v>548.54999999999995</v>
      </c>
      <c r="N175" s="17">
        <v>71311.5</v>
      </c>
      <c r="O175" s="17">
        <v>12779.02</v>
      </c>
      <c r="P175" s="18">
        <v>0.152</v>
      </c>
      <c r="Q175" s="17">
        <v>1423.29</v>
      </c>
      <c r="R175" s="15" t="s">
        <v>40</v>
      </c>
    </row>
    <row r="176" spans="1:18" ht="14.25" customHeight="1" x14ac:dyDescent="0.3">
      <c r="A176" s="14">
        <v>45139</v>
      </c>
      <c r="B176" s="15">
        <v>2023</v>
      </c>
      <c r="C176" s="15" t="s">
        <v>45</v>
      </c>
      <c r="D176" s="15" t="s">
        <v>27</v>
      </c>
      <c r="E176" s="15" t="s">
        <v>28</v>
      </c>
      <c r="F176" s="15" t="s">
        <v>29</v>
      </c>
      <c r="G176" s="15" t="s">
        <v>33</v>
      </c>
      <c r="H176" s="16">
        <v>88</v>
      </c>
      <c r="I176" s="17">
        <v>710.09</v>
      </c>
      <c r="J176" s="18">
        <v>6.5000000000000002E-2</v>
      </c>
      <c r="K176" s="17">
        <v>62488.27</v>
      </c>
      <c r="L176" s="17">
        <v>58426.54</v>
      </c>
      <c r="M176" s="17">
        <v>548.54999999999995</v>
      </c>
      <c r="N176" s="17">
        <v>48272.4</v>
      </c>
      <c r="O176" s="17">
        <v>10154.14</v>
      </c>
      <c r="P176" s="18">
        <v>0.17380000000000001</v>
      </c>
      <c r="Q176" s="17">
        <v>1266.92</v>
      </c>
      <c r="R176" s="15" t="s">
        <v>40</v>
      </c>
    </row>
    <row r="177" spans="1:18" ht="14.25" customHeight="1" x14ac:dyDescent="0.3">
      <c r="A177" s="14">
        <v>45139</v>
      </c>
      <c r="B177" s="15">
        <v>2023</v>
      </c>
      <c r="C177" s="15" t="s">
        <v>45</v>
      </c>
      <c r="D177" s="15" t="s">
        <v>30</v>
      </c>
      <c r="E177" s="15" t="s">
        <v>31</v>
      </c>
      <c r="F177" s="15" t="s">
        <v>32</v>
      </c>
      <c r="G177" s="15" t="s">
        <v>33</v>
      </c>
      <c r="H177" s="16">
        <v>115</v>
      </c>
      <c r="I177" s="17">
        <v>689.11</v>
      </c>
      <c r="J177" s="18">
        <v>0.14499999999999999</v>
      </c>
      <c r="K177" s="17">
        <v>79247.19</v>
      </c>
      <c r="L177" s="17">
        <v>67756.350000000006</v>
      </c>
      <c r="M177" s="17">
        <v>548.54999999999995</v>
      </c>
      <c r="N177" s="17">
        <v>63083.25</v>
      </c>
      <c r="O177" s="17">
        <v>4673.1000000000004</v>
      </c>
      <c r="P177" s="18">
        <v>6.9000000000000006E-2</v>
      </c>
      <c r="Q177" s="17">
        <v>888</v>
      </c>
      <c r="R177" s="15" t="s">
        <v>40</v>
      </c>
    </row>
    <row r="178" spans="1:18" ht="14.25" customHeight="1" x14ac:dyDescent="0.3">
      <c r="A178" s="14">
        <v>45139</v>
      </c>
      <c r="B178" s="15">
        <v>2023</v>
      </c>
      <c r="C178" s="15" t="s">
        <v>45</v>
      </c>
      <c r="D178" s="15" t="s">
        <v>19</v>
      </c>
      <c r="E178" s="15" t="s">
        <v>20</v>
      </c>
      <c r="F178" s="15" t="s">
        <v>26</v>
      </c>
      <c r="G178" s="15" t="s">
        <v>34</v>
      </c>
      <c r="H178" s="16">
        <v>277</v>
      </c>
      <c r="I178" s="17">
        <v>221.49</v>
      </c>
      <c r="J178" s="18">
        <v>0.11</v>
      </c>
      <c r="K178" s="17">
        <v>61351.9</v>
      </c>
      <c r="L178" s="17">
        <v>54603.19</v>
      </c>
      <c r="M178" s="17">
        <v>151.05000000000001</v>
      </c>
      <c r="N178" s="17">
        <v>41840.85</v>
      </c>
      <c r="O178" s="17">
        <v>12762.34</v>
      </c>
      <c r="P178" s="18">
        <v>0.23369999999999999</v>
      </c>
      <c r="Q178" s="17">
        <v>1079.71</v>
      </c>
      <c r="R178" s="15" t="s">
        <v>40</v>
      </c>
    </row>
    <row r="179" spans="1:18" ht="14.25" customHeight="1" x14ac:dyDescent="0.3">
      <c r="A179" s="14">
        <v>45139</v>
      </c>
      <c r="B179" s="15">
        <v>2023</v>
      </c>
      <c r="C179" s="15" t="s">
        <v>45</v>
      </c>
      <c r="D179" s="15" t="s">
        <v>24</v>
      </c>
      <c r="E179" s="15" t="s">
        <v>25</v>
      </c>
      <c r="F179" s="15" t="s">
        <v>21</v>
      </c>
      <c r="G179" s="15" t="s">
        <v>34</v>
      </c>
      <c r="H179" s="16">
        <v>229</v>
      </c>
      <c r="I179" s="17">
        <v>223.71</v>
      </c>
      <c r="J179" s="18">
        <v>0.08</v>
      </c>
      <c r="K179" s="17">
        <v>51230.28</v>
      </c>
      <c r="L179" s="17">
        <v>47131.85</v>
      </c>
      <c r="M179" s="17">
        <v>151.05000000000001</v>
      </c>
      <c r="N179" s="17">
        <v>34590.449999999997</v>
      </c>
      <c r="O179" s="17">
        <v>12541.4</v>
      </c>
      <c r="P179" s="18">
        <v>0.2661</v>
      </c>
      <c r="Q179" s="17">
        <v>993.37</v>
      </c>
      <c r="R179" s="15" t="s">
        <v>40</v>
      </c>
    </row>
    <row r="180" spans="1:18" ht="14.25" customHeight="1" x14ac:dyDescent="0.3">
      <c r="A180" s="14">
        <v>45139</v>
      </c>
      <c r="B180" s="15">
        <v>2023</v>
      </c>
      <c r="C180" s="15" t="s">
        <v>45</v>
      </c>
      <c r="D180" s="15" t="s">
        <v>27</v>
      </c>
      <c r="E180" s="15" t="s">
        <v>31</v>
      </c>
      <c r="F180" s="15" t="s">
        <v>32</v>
      </c>
      <c r="G180" s="15" t="s">
        <v>34</v>
      </c>
      <c r="H180" s="16">
        <v>336</v>
      </c>
      <c r="I180" s="17">
        <v>225.94</v>
      </c>
      <c r="J180" s="18">
        <v>0.14499999999999999</v>
      </c>
      <c r="K180" s="17">
        <v>75915.5</v>
      </c>
      <c r="L180" s="17">
        <v>64907.76</v>
      </c>
      <c r="M180" s="17">
        <v>151.05000000000001</v>
      </c>
      <c r="N180" s="17">
        <v>50752.800000000003</v>
      </c>
      <c r="O180" s="17">
        <v>14154.96</v>
      </c>
      <c r="P180" s="18">
        <v>0.21809999999999999</v>
      </c>
      <c r="Q180" s="17">
        <v>778.13</v>
      </c>
      <c r="R180" s="15" t="s">
        <v>40</v>
      </c>
    </row>
    <row r="181" spans="1:18" ht="14.25" customHeight="1" x14ac:dyDescent="0.3">
      <c r="A181" s="14">
        <v>45139</v>
      </c>
      <c r="B181" s="15">
        <v>2023</v>
      </c>
      <c r="C181" s="15" t="s">
        <v>45</v>
      </c>
      <c r="D181" s="15" t="s">
        <v>30</v>
      </c>
      <c r="E181" s="15" t="s">
        <v>20</v>
      </c>
      <c r="F181" s="15" t="s">
        <v>21</v>
      </c>
      <c r="G181" s="15" t="s">
        <v>34</v>
      </c>
      <c r="H181" s="16">
        <v>180</v>
      </c>
      <c r="I181" s="17">
        <v>219.26</v>
      </c>
      <c r="J181" s="18">
        <v>0.11</v>
      </c>
      <c r="K181" s="17">
        <v>39466.980000000003</v>
      </c>
      <c r="L181" s="17">
        <v>35125.61</v>
      </c>
      <c r="M181" s="17">
        <v>151.05000000000001</v>
      </c>
      <c r="N181" s="17">
        <v>27189</v>
      </c>
      <c r="O181" s="17">
        <v>7936.61</v>
      </c>
      <c r="P181" s="18">
        <v>0.22589999999999999</v>
      </c>
      <c r="Q181" s="17">
        <v>975.18</v>
      </c>
      <c r="R181" s="15" t="s">
        <v>40</v>
      </c>
    </row>
    <row r="182" spans="1:18" ht="14.25" customHeight="1" x14ac:dyDescent="0.3">
      <c r="A182" s="14">
        <v>45139</v>
      </c>
      <c r="B182" s="15">
        <v>2023</v>
      </c>
      <c r="C182" s="15" t="s">
        <v>45</v>
      </c>
      <c r="D182" s="15" t="s">
        <v>19</v>
      </c>
      <c r="E182" s="15" t="s">
        <v>25</v>
      </c>
      <c r="F182" s="15" t="s">
        <v>21</v>
      </c>
      <c r="G182" s="15" t="s">
        <v>35</v>
      </c>
      <c r="H182" s="16">
        <v>729</v>
      </c>
      <c r="I182" s="17">
        <v>11.07</v>
      </c>
      <c r="J182" s="18">
        <v>0.08</v>
      </c>
      <c r="K182" s="17">
        <v>8073.2</v>
      </c>
      <c r="L182" s="17">
        <v>7427.34</v>
      </c>
      <c r="M182" s="17">
        <v>5.57</v>
      </c>
      <c r="N182" s="17">
        <v>4056.89</v>
      </c>
      <c r="O182" s="17">
        <v>3370.46</v>
      </c>
      <c r="P182" s="18">
        <v>0.45379999999999998</v>
      </c>
      <c r="Q182" s="17">
        <v>440.53</v>
      </c>
      <c r="R182" s="15" t="s">
        <v>40</v>
      </c>
    </row>
    <row r="183" spans="1:18" ht="14.25" customHeight="1" x14ac:dyDescent="0.3">
      <c r="A183" s="14">
        <v>45139</v>
      </c>
      <c r="B183" s="15">
        <v>2023</v>
      </c>
      <c r="C183" s="15" t="s">
        <v>45</v>
      </c>
      <c r="D183" s="15" t="s">
        <v>24</v>
      </c>
      <c r="E183" s="15" t="s">
        <v>31</v>
      </c>
      <c r="F183" s="15" t="s">
        <v>32</v>
      </c>
      <c r="G183" s="15" t="s">
        <v>35</v>
      </c>
      <c r="H183" s="16">
        <v>1062</v>
      </c>
      <c r="I183" s="17">
        <v>11.19</v>
      </c>
      <c r="J183" s="18">
        <v>0.14499999999999999</v>
      </c>
      <c r="K183" s="17">
        <v>11879.16</v>
      </c>
      <c r="L183" s="17">
        <v>10156.68</v>
      </c>
      <c r="M183" s="17">
        <v>5.57</v>
      </c>
      <c r="N183" s="17">
        <v>5910.03</v>
      </c>
      <c r="O183" s="17">
        <v>4246.6499999999996</v>
      </c>
      <c r="P183" s="18">
        <v>0.41810000000000003</v>
      </c>
      <c r="Q183" s="17">
        <v>362.55</v>
      </c>
      <c r="R183" s="15" t="s">
        <v>40</v>
      </c>
    </row>
    <row r="184" spans="1:18" ht="14.25" customHeight="1" x14ac:dyDescent="0.3">
      <c r="A184" s="14">
        <v>45139</v>
      </c>
      <c r="B184" s="15">
        <v>2023</v>
      </c>
      <c r="C184" s="15" t="s">
        <v>45</v>
      </c>
      <c r="D184" s="15" t="s">
        <v>27</v>
      </c>
      <c r="E184" s="15" t="s">
        <v>20</v>
      </c>
      <c r="F184" s="15" t="s">
        <v>21</v>
      </c>
      <c r="G184" s="15" t="s">
        <v>35</v>
      </c>
      <c r="H184" s="16">
        <v>1016</v>
      </c>
      <c r="I184" s="17">
        <v>11.3</v>
      </c>
      <c r="J184" s="18">
        <v>0.11</v>
      </c>
      <c r="K184" s="17">
        <v>11477.7</v>
      </c>
      <c r="L184" s="17">
        <v>10215.15</v>
      </c>
      <c r="M184" s="17">
        <v>5.57</v>
      </c>
      <c r="N184" s="17">
        <v>5654.04</v>
      </c>
      <c r="O184" s="17">
        <v>4561.1099999999997</v>
      </c>
      <c r="P184" s="18">
        <v>0.44650000000000001</v>
      </c>
      <c r="Q184" s="17">
        <v>594.62</v>
      </c>
      <c r="R184" s="15" t="s">
        <v>40</v>
      </c>
    </row>
    <row r="185" spans="1:18" ht="14.25" customHeight="1" x14ac:dyDescent="0.3">
      <c r="A185" s="14">
        <v>45139</v>
      </c>
      <c r="B185" s="15">
        <v>2023</v>
      </c>
      <c r="C185" s="15" t="s">
        <v>45</v>
      </c>
      <c r="D185" s="15" t="s">
        <v>30</v>
      </c>
      <c r="E185" s="15" t="s">
        <v>25</v>
      </c>
      <c r="F185" s="15" t="s">
        <v>26</v>
      </c>
      <c r="G185" s="15" t="s">
        <v>35</v>
      </c>
      <c r="H185" s="16">
        <v>590</v>
      </c>
      <c r="I185" s="17">
        <v>10.96</v>
      </c>
      <c r="J185" s="18">
        <v>0.08</v>
      </c>
      <c r="K185" s="17">
        <v>6468.2</v>
      </c>
      <c r="L185" s="17">
        <v>5950.74</v>
      </c>
      <c r="M185" s="17">
        <v>5.57</v>
      </c>
      <c r="N185" s="17">
        <v>3283.35</v>
      </c>
      <c r="O185" s="17">
        <v>2667.39</v>
      </c>
      <c r="P185" s="18">
        <v>0.44819999999999999</v>
      </c>
      <c r="Q185" s="17">
        <v>400.1</v>
      </c>
      <c r="R185" s="15" t="s">
        <v>40</v>
      </c>
    </row>
    <row r="186" spans="1:18" ht="14.25" customHeight="1" x14ac:dyDescent="0.3">
      <c r="A186" s="14">
        <v>45139</v>
      </c>
      <c r="B186" s="15">
        <v>2023</v>
      </c>
      <c r="C186" s="15" t="s">
        <v>45</v>
      </c>
      <c r="D186" s="15" t="s">
        <v>19</v>
      </c>
      <c r="E186" s="15" t="s">
        <v>31</v>
      </c>
      <c r="F186" s="15" t="s">
        <v>32</v>
      </c>
      <c r="G186" s="15" t="s">
        <v>36</v>
      </c>
      <c r="H186" s="16">
        <v>286</v>
      </c>
      <c r="I186" s="17">
        <v>67.239999999999995</v>
      </c>
      <c r="J186" s="18">
        <v>0.13</v>
      </c>
      <c r="K186" s="17">
        <v>19230.95</v>
      </c>
      <c r="L186" s="17">
        <v>16730.93</v>
      </c>
      <c r="M186" s="17">
        <v>14.31</v>
      </c>
      <c r="N186" s="17">
        <v>4092.66</v>
      </c>
      <c r="O186" s="17">
        <v>12638.27</v>
      </c>
      <c r="P186" s="18">
        <v>0.75539999999999996</v>
      </c>
      <c r="Q186" s="17">
        <v>500.95</v>
      </c>
      <c r="R186" s="15" t="s">
        <v>40</v>
      </c>
    </row>
    <row r="187" spans="1:18" ht="14.25" customHeight="1" x14ac:dyDescent="0.3">
      <c r="A187" s="14">
        <v>45139</v>
      </c>
      <c r="B187" s="15">
        <v>2023</v>
      </c>
      <c r="C187" s="15" t="s">
        <v>45</v>
      </c>
      <c r="D187" s="15" t="s">
        <v>24</v>
      </c>
      <c r="E187" s="15" t="s">
        <v>20</v>
      </c>
      <c r="F187" s="15" t="s">
        <v>21</v>
      </c>
      <c r="G187" s="15" t="s">
        <v>36</v>
      </c>
      <c r="H187" s="16">
        <v>302</v>
      </c>
      <c r="I187" s="17">
        <v>67.91</v>
      </c>
      <c r="J187" s="18">
        <v>9.5000000000000001E-2</v>
      </c>
      <c r="K187" s="17">
        <v>20508.490000000002</v>
      </c>
      <c r="L187" s="17">
        <v>18560.18</v>
      </c>
      <c r="M187" s="17">
        <v>14.31</v>
      </c>
      <c r="N187" s="17">
        <v>4321.62</v>
      </c>
      <c r="O187" s="17">
        <v>14238.56</v>
      </c>
      <c r="P187" s="18">
        <v>0.76719999999999999</v>
      </c>
      <c r="Q187" s="17">
        <v>837.64</v>
      </c>
      <c r="R187" s="15" t="s">
        <v>40</v>
      </c>
    </row>
    <row r="188" spans="1:18" ht="14.25" customHeight="1" x14ac:dyDescent="0.3">
      <c r="A188" s="14">
        <v>45139</v>
      </c>
      <c r="B188" s="15">
        <v>2023</v>
      </c>
      <c r="C188" s="15" t="s">
        <v>45</v>
      </c>
      <c r="D188" s="15" t="s">
        <v>27</v>
      </c>
      <c r="E188" s="15" t="s">
        <v>28</v>
      </c>
      <c r="F188" s="15" t="s">
        <v>32</v>
      </c>
      <c r="G188" s="15" t="s">
        <v>36</v>
      </c>
      <c r="H188" s="16">
        <v>193</v>
      </c>
      <c r="I188" s="17">
        <v>68.59</v>
      </c>
      <c r="J188" s="18">
        <v>0.05</v>
      </c>
      <c r="K188" s="17">
        <v>13238.37</v>
      </c>
      <c r="L188" s="17">
        <v>12576.45</v>
      </c>
      <c r="M188" s="17">
        <v>14.31</v>
      </c>
      <c r="N188" s="17">
        <v>2761.83</v>
      </c>
      <c r="O188" s="17">
        <v>9814.6200000000008</v>
      </c>
      <c r="P188" s="18">
        <v>0.78039999999999998</v>
      </c>
      <c r="Q188" s="17">
        <v>623.33000000000004</v>
      </c>
      <c r="R188" s="15" t="s">
        <v>40</v>
      </c>
    </row>
    <row r="189" spans="1:18" ht="14.25" customHeight="1" x14ac:dyDescent="0.3">
      <c r="A189" s="14">
        <v>45139</v>
      </c>
      <c r="B189" s="15">
        <v>2023</v>
      </c>
      <c r="C189" s="15" t="s">
        <v>45</v>
      </c>
      <c r="D189" s="15" t="s">
        <v>30</v>
      </c>
      <c r="E189" s="15" t="s">
        <v>31</v>
      </c>
      <c r="F189" s="15" t="s">
        <v>32</v>
      </c>
      <c r="G189" s="15" t="s">
        <v>36</v>
      </c>
      <c r="H189" s="16">
        <v>233</v>
      </c>
      <c r="I189" s="17">
        <v>66.56</v>
      </c>
      <c r="J189" s="18">
        <v>0.13</v>
      </c>
      <c r="K189" s="17">
        <v>15507.87</v>
      </c>
      <c r="L189" s="17">
        <v>13491.85</v>
      </c>
      <c r="M189" s="17">
        <v>14.31</v>
      </c>
      <c r="N189" s="17">
        <v>3334.23</v>
      </c>
      <c r="O189" s="17">
        <v>10157.620000000001</v>
      </c>
      <c r="P189" s="18">
        <v>0.75290000000000001</v>
      </c>
      <c r="Q189" s="17">
        <v>411.65</v>
      </c>
      <c r="R189" s="15" t="s">
        <v>40</v>
      </c>
    </row>
    <row r="190" spans="1:18" ht="14.25" customHeight="1" x14ac:dyDescent="0.3">
      <c r="A190" s="14">
        <v>45139</v>
      </c>
      <c r="B190" s="15">
        <v>2023</v>
      </c>
      <c r="C190" s="15" t="s">
        <v>45</v>
      </c>
      <c r="D190" s="15" t="s">
        <v>19</v>
      </c>
      <c r="E190" s="15" t="s">
        <v>20</v>
      </c>
      <c r="F190" s="15" t="s">
        <v>21</v>
      </c>
      <c r="G190" s="15" t="s">
        <v>37</v>
      </c>
      <c r="H190" s="16">
        <v>246</v>
      </c>
      <c r="I190" s="17">
        <v>51.42</v>
      </c>
      <c r="J190" s="18">
        <v>9.5000000000000001E-2</v>
      </c>
      <c r="K190" s="17">
        <v>12649.47</v>
      </c>
      <c r="L190" s="17">
        <v>11447.77</v>
      </c>
      <c r="M190" s="17">
        <v>7.16</v>
      </c>
      <c r="N190" s="17">
        <v>1760.13</v>
      </c>
      <c r="O190" s="17">
        <v>9687.64</v>
      </c>
      <c r="P190" s="18">
        <v>0.84619999999999995</v>
      </c>
      <c r="Q190" s="17">
        <v>462.68</v>
      </c>
      <c r="R190" s="15" t="s">
        <v>40</v>
      </c>
    </row>
    <row r="191" spans="1:18" ht="14.25" customHeight="1" x14ac:dyDescent="0.3">
      <c r="A191" s="14">
        <v>45139</v>
      </c>
      <c r="B191" s="15">
        <v>2023</v>
      </c>
      <c r="C191" s="15" t="s">
        <v>45</v>
      </c>
      <c r="D191" s="15" t="s">
        <v>24</v>
      </c>
      <c r="E191" s="15" t="s">
        <v>25</v>
      </c>
      <c r="F191" s="15" t="s">
        <v>26</v>
      </c>
      <c r="G191" s="15" t="s">
        <v>37</v>
      </c>
      <c r="H191" s="16">
        <v>233</v>
      </c>
      <c r="I191" s="17">
        <v>51.93</v>
      </c>
      <c r="J191" s="18">
        <v>6.5000000000000002E-2</v>
      </c>
      <c r="K191" s="17">
        <v>12099.55</v>
      </c>
      <c r="L191" s="17">
        <v>11313.08</v>
      </c>
      <c r="M191" s="17">
        <v>7.16</v>
      </c>
      <c r="N191" s="17">
        <v>1667.12</v>
      </c>
      <c r="O191" s="17">
        <v>9645.9699999999993</v>
      </c>
      <c r="P191" s="18">
        <v>0.85260000000000002</v>
      </c>
      <c r="Q191" s="17">
        <v>441.25</v>
      </c>
      <c r="R191" s="15" t="s">
        <v>40</v>
      </c>
    </row>
    <row r="192" spans="1:18" ht="14.25" customHeight="1" x14ac:dyDescent="0.3">
      <c r="A192" s="14">
        <v>45139</v>
      </c>
      <c r="B192" s="15">
        <v>2023</v>
      </c>
      <c r="C192" s="15" t="s">
        <v>45</v>
      </c>
      <c r="D192" s="15" t="s">
        <v>27</v>
      </c>
      <c r="E192" s="15" t="s">
        <v>28</v>
      </c>
      <c r="F192" s="15" t="s">
        <v>29</v>
      </c>
      <c r="G192" s="15" t="s">
        <v>37</v>
      </c>
      <c r="H192" s="16">
        <v>169</v>
      </c>
      <c r="I192" s="17">
        <v>52.45</v>
      </c>
      <c r="J192" s="18">
        <v>0.05</v>
      </c>
      <c r="K192" s="17">
        <v>8863.4</v>
      </c>
      <c r="L192" s="17">
        <v>8420.23</v>
      </c>
      <c r="M192" s="17">
        <v>7.16</v>
      </c>
      <c r="N192" s="17">
        <v>1209.2</v>
      </c>
      <c r="O192" s="17">
        <v>7211.03</v>
      </c>
      <c r="P192" s="18">
        <v>0.85640000000000005</v>
      </c>
      <c r="Q192" s="17">
        <v>372.38</v>
      </c>
      <c r="R192" s="15" t="s">
        <v>40</v>
      </c>
    </row>
    <row r="193" spans="1:18" ht="14.25" customHeight="1" x14ac:dyDescent="0.3">
      <c r="A193" s="14">
        <v>45139</v>
      </c>
      <c r="B193" s="15">
        <v>2023</v>
      </c>
      <c r="C193" s="15" t="s">
        <v>45</v>
      </c>
      <c r="D193" s="15" t="s">
        <v>30</v>
      </c>
      <c r="E193" s="15" t="s">
        <v>20</v>
      </c>
      <c r="F193" s="15" t="s">
        <v>26</v>
      </c>
      <c r="G193" s="15" t="s">
        <v>37</v>
      </c>
      <c r="H193" s="16">
        <v>202</v>
      </c>
      <c r="I193" s="17">
        <v>50.9</v>
      </c>
      <c r="J193" s="18">
        <v>9.5000000000000001E-2</v>
      </c>
      <c r="K193" s="17">
        <v>10280.969999999999</v>
      </c>
      <c r="L193" s="17">
        <v>9304.2800000000007</v>
      </c>
      <c r="M193" s="17">
        <v>7.16</v>
      </c>
      <c r="N193" s="17">
        <v>1445.31</v>
      </c>
      <c r="O193" s="17">
        <v>7858.97</v>
      </c>
      <c r="P193" s="18">
        <v>0.84470000000000001</v>
      </c>
      <c r="Q193" s="17">
        <v>409.74</v>
      </c>
      <c r="R193" s="15" t="s">
        <v>40</v>
      </c>
    </row>
    <row r="194" spans="1:18" ht="14.25" customHeight="1" x14ac:dyDescent="0.3">
      <c r="A194" s="14">
        <v>45170</v>
      </c>
      <c r="B194" s="15">
        <v>2023</v>
      </c>
      <c r="C194" s="15" t="s">
        <v>46</v>
      </c>
      <c r="D194" s="15" t="s">
        <v>19</v>
      </c>
      <c r="E194" s="15" t="s">
        <v>20</v>
      </c>
      <c r="F194" s="15" t="s">
        <v>21</v>
      </c>
      <c r="G194" s="15" t="s">
        <v>22</v>
      </c>
      <c r="H194" s="16">
        <v>133</v>
      </c>
      <c r="I194" s="17">
        <v>490.44</v>
      </c>
      <c r="J194" s="18">
        <v>8.5000000000000006E-2</v>
      </c>
      <c r="K194" s="17">
        <v>65227.92</v>
      </c>
      <c r="L194" s="17">
        <v>59683.55</v>
      </c>
      <c r="M194" s="17">
        <v>369.68</v>
      </c>
      <c r="N194" s="17">
        <v>49166.78</v>
      </c>
      <c r="O194" s="17">
        <v>10516.78</v>
      </c>
      <c r="P194" s="18">
        <v>0.1762</v>
      </c>
      <c r="Q194" s="17">
        <v>1058.8699999999999</v>
      </c>
      <c r="R194" s="15" t="s">
        <v>23</v>
      </c>
    </row>
    <row r="195" spans="1:18" ht="14.25" customHeight="1" x14ac:dyDescent="0.3">
      <c r="A195" s="14">
        <v>45170</v>
      </c>
      <c r="B195" s="15">
        <v>2023</v>
      </c>
      <c r="C195" s="15" t="s">
        <v>46</v>
      </c>
      <c r="D195" s="15" t="s">
        <v>24</v>
      </c>
      <c r="E195" s="15" t="s">
        <v>25</v>
      </c>
      <c r="F195" s="15" t="s">
        <v>26</v>
      </c>
      <c r="G195" s="15" t="s">
        <v>22</v>
      </c>
      <c r="H195" s="16">
        <v>115</v>
      </c>
      <c r="I195" s="17">
        <v>495.36</v>
      </c>
      <c r="J195" s="18">
        <v>5.5E-2</v>
      </c>
      <c r="K195" s="17">
        <v>56966.92</v>
      </c>
      <c r="L195" s="17">
        <v>53833.74</v>
      </c>
      <c r="M195" s="17">
        <v>369.68</v>
      </c>
      <c r="N195" s="17">
        <v>42512.62</v>
      </c>
      <c r="O195" s="17">
        <v>11321.11</v>
      </c>
      <c r="P195" s="18">
        <v>0.21029999999999999</v>
      </c>
      <c r="Q195" s="17">
        <v>978.97</v>
      </c>
      <c r="R195" s="15" t="s">
        <v>23</v>
      </c>
    </row>
    <row r="196" spans="1:18" ht="14.25" customHeight="1" x14ac:dyDescent="0.3">
      <c r="A196" s="14">
        <v>45170</v>
      </c>
      <c r="B196" s="15">
        <v>2023</v>
      </c>
      <c r="C196" s="15" t="s">
        <v>46</v>
      </c>
      <c r="D196" s="15" t="s">
        <v>27</v>
      </c>
      <c r="E196" s="15" t="s">
        <v>28</v>
      </c>
      <c r="F196" s="15" t="s">
        <v>29</v>
      </c>
      <c r="G196" s="15" t="s">
        <v>22</v>
      </c>
      <c r="H196" s="16">
        <v>97</v>
      </c>
      <c r="I196" s="17">
        <v>500.29</v>
      </c>
      <c r="J196" s="18">
        <v>0.04</v>
      </c>
      <c r="K196" s="17">
        <v>48528.47</v>
      </c>
      <c r="L196" s="17">
        <v>46587.33</v>
      </c>
      <c r="M196" s="17">
        <v>369.68</v>
      </c>
      <c r="N196" s="17">
        <v>35858.47</v>
      </c>
      <c r="O196" s="17">
        <v>10728.86</v>
      </c>
      <c r="P196" s="18">
        <v>0.2303</v>
      </c>
      <c r="Q196" s="17">
        <v>880.8</v>
      </c>
      <c r="R196" s="15" t="s">
        <v>23</v>
      </c>
    </row>
    <row r="197" spans="1:18" ht="14.25" customHeight="1" x14ac:dyDescent="0.3">
      <c r="A197" s="14">
        <v>45170</v>
      </c>
      <c r="B197" s="15">
        <v>2023</v>
      </c>
      <c r="C197" s="15" t="s">
        <v>46</v>
      </c>
      <c r="D197" s="15" t="s">
        <v>30</v>
      </c>
      <c r="E197" s="15" t="s">
        <v>31</v>
      </c>
      <c r="F197" s="15" t="s">
        <v>32</v>
      </c>
      <c r="G197" s="15" t="s">
        <v>22</v>
      </c>
      <c r="H197" s="16">
        <v>122</v>
      </c>
      <c r="I197" s="17">
        <v>485.51</v>
      </c>
      <c r="J197" s="18">
        <v>0.12</v>
      </c>
      <c r="K197" s="17">
        <v>59231.79</v>
      </c>
      <c r="L197" s="17">
        <v>52123.98</v>
      </c>
      <c r="M197" s="17">
        <v>369.68</v>
      </c>
      <c r="N197" s="17">
        <v>45100.35</v>
      </c>
      <c r="O197" s="17">
        <v>7023.63</v>
      </c>
      <c r="P197" s="18">
        <v>0.13469999999999999</v>
      </c>
      <c r="Q197" s="17">
        <v>607.66</v>
      </c>
      <c r="R197" s="15" t="s">
        <v>23</v>
      </c>
    </row>
    <row r="198" spans="1:18" ht="14.25" customHeight="1" x14ac:dyDescent="0.3">
      <c r="A198" s="14">
        <v>45170</v>
      </c>
      <c r="B198" s="15">
        <v>2023</v>
      </c>
      <c r="C198" s="15" t="s">
        <v>46</v>
      </c>
      <c r="D198" s="15" t="s">
        <v>19</v>
      </c>
      <c r="E198" s="15" t="s">
        <v>25</v>
      </c>
      <c r="F198" s="15" t="s">
        <v>26</v>
      </c>
      <c r="G198" s="15" t="s">
        <v>33</v>
      </c>
      <c r="H198" s="16">
        <v>77</v>
      </c>
      <c r="I198" s="17">
        <v>696.1</v>
      </c>
      <c r="J198" s="18">
        <v>5.5E-2</v>
      </c>
      <c r="K198" s="17">
        <v>53599.85</v>
      </c>
      <c r="L198" s="17">
        <v>50651.86</v>
      </c>
      <c r="M198" s="17">
        <v>548.54999999999995</v>
      </c>
      <c r="N198" s="17">
        <v>42238.35</v>
      </c>
      <c r="O198" s="17">
        <v>8413.51</v>
      </c>
      <c r="P198" s="18">
        <v>0.1661</v>
      </c>
      <c r="Q198" s="17">
        <v>915.76</v>
      </c>
      <c r="R198" s="15" t="s">
        <v>23</v>
      </c>
    </row>
    <row r="199" spans="1:18" ht="14.25" customHeight="1" x14ac:dyDescent="0.3">
      <c r="A199" s="14">
        <v>45170</v>
      </c>
      <c r="B199" s="15">
        <v>2023</v>
      </c>
      <c r="C199" s="15" t="s">
        <v>46</v>
      </c>
      <c r="D199" s="15" t="s">
        <v>24</v>
      </c>
      <c r="E199" s="15" t="s">
        <v>28</v>
      </c>
      <c r="F199" s="15" t="s">
        <v>29</v>
      </c>
      <c r="G199" s="15" t="s">
        <v>33</v>
      </c>
      <c r="H199" s="16">
        <v>57</v>
      </c>
      <c r="I199" s="17">
        <v>703.1</v>
      </c>
      <c r="J199" s="18">
        <v>0.04</v>
      </c>
      <c r="K199" s="17">
        <v>40076.589999999997</v>
      </c>
      <c r="L199" s="17">
        <v>38473.519999999997</v>
      </c>
      <c r="M199" s="17">
        <v>548.54999999999995</v>
      </c>
      <c r="N199" s="17">
        <v>31267.35</v>
      </c>
      <c r="O199" s="17">
        <v>7206.17</v>
      </c>
      <c r="P199" s="18">
        <v>0.18729999999999999</v>
      </c>
      <c r="Q199" s="17">
        <v>823.18</v>
      </c>
      <c r="R199" s="15" t="s">
        <v>23</v>
      </c>
    </row>
    <row r="200" spans="1:18" ht="14.25" customHeight="1" x14ac:dyDescent="0.3">
      <c r="A200" s="14">
        <v>45170</v>
      </c>
      <c r="B200" s="15">
        <v>2023</v>
      </c>
      <c r="C200" s="15" t="s">
        <v>46</v>
      </c>
      <c r="D200" s="15" t="s">
        <v>27</v>
      </c>
      <c r="E200" s="15" t="s">
        <v>31</v>
      </c>
      <c r="F200" s="15" t="s">
        <v>32</v>
      </c>
      <c r="G200" s="15" t="s">
        <v>33</v>
      </c>
      <c r="H200" s="16">
        <v>125</v>
      </c>
      <c r="I200" s="17">
        <v>710.09</v>
      </c>
      <c r="J200" s="18">
        <v>0.12</v>
      </c>
      <c r="K200" s="17">
        <v>88761.75</v>
      </c>
      <c r="L200" s="17">
        <v>78110.34</v>
      </c>
      <c r="M200" s="17">
        <v>548.54999999999995</v>
      </c>
      <c r="N200" s="17">
        <v>68568.75</v>
      </c>
      <c r="O200" s="17">
        <v>9541.59</v>
      </c>
      <c r="P200" s="18">
        <v>0.1222</v>
      </c>
      <c r="Q200" s="17">
        <v>771.21</v>
      </c>
      <c r="R200" s="15" t="s">
        <v>23</v>
      </c>
    </row>
    <row r="201" spans="1:18" ht="14.25" customHeight="1" x14ac:dyDescent="0.3">
      <c r="A201" s="14">
        <v>45170</v>
      </c>
      <c r="B201" s="15">
        <v>2023</v>
      </c>
      <c r="C201" s="15" t="s">
        <v>46</v>
      </c>
      <c r="D201" s="15" t="s">
        <v>30</v>
      </c>
      <c r="E201" s="15" t="s">
        <v>20</v>
      </c>
      <c r="F201" s="15" t="s">
        <v>21</v>
      </c>
      <c r="G201" s="15" t="s">
        <v>33</v>
      </c>
      <c r="H201" s="16">
        <v>76</v>
      </c>
      <c r="I201" s="17">
        <v>689.11</v>
      </c>
      <c r="J201" s="18">
        <v>8.5000000000000006E-2</v>
      </c>
      <c r="K201" s="17">
        <v>52372.06</v>
      </c>
      <c r="L201" s="17">
        <v>47920.43</v>
      </c>
      <c r="M201" s="17">
        <v>548.54999999999995</v>
      </c>
      <c r="N201" s="17">
        <v>41689.800000000003</v>
      </c>
      <c r="O201" s="17">
        <v>6230.63</v>
      </c>
      <c r="P201" s="18">
        <v>0.13</v>
      </c>
      <c r="Q201" s="17">
        <v>944.64</v>
      </c>
      <c r="R201" s="15" t="s">
        <v>23</v>
      </c>
    </row>
    <row r="202" spans="1:18" ht="14.25" customHeight="1" x14ac:dyDescent="0.3">
      <c r="A202" s="14">
        <v>45170</v>
      </c>
      <c r="B202" s="15">
        <v>2023</v>
      </c>
      <c r="C202" s="15" t="s">
        <v>46</v>
      </c>
      <c r="D202" s="15" t="s">
        <v>19</v>
      </c>
      <c r="E202" s="15" t="s">
        <v>25</v>
      </c>
      <c r="F202" s="15" t="s">
        <v>21</v>
      </c>
      <c r="G202" s="15" t="s">
        <v>34</v>
      </c>
      <c r="H202" s="16">
        <v>150</v>
      </c>
      <c r="I202" s="17">
        <v>221.49</v>
      </c>
      <c r="J202" s="18">
        <v>5.5E-2</v>
      </c>
      <c r="K202" s="17">
        <v>33223.050000000003</v>
      </c>
      <c r="L202" s="17">
        <v>31395.78</v>
      </c>
      <c r="M202" s="17">
        <v>151.05000000000001</v>
      </c>
      <c r="N202" s="17">
        <v>22657.5</v>
      </c>
      <c r="O202" s="17">
        <v>8738.2800000000007</v>
      </c>
      <c r="P202" s="18">
        <v>0.27829999999999999</v>
      </c>
      <c r="Q202" s="17">
        <v>627.26</v>
      </c>
      <c r="R202" s="15" t="s">
        <v>23</v>
      </c>
    </row>
    <row r="203" spans="1:18" ht="14.25" customHeight="1" x14ac:dyDescent="0.3">
      <c r="A203" s="14">
        <v>45170</v>
      </c>
      <c r="B203" s="15">
        <v>2023</v>
      </c>
      <c r="C203" s="15" t="s">
        <v>46</v>
      </c>
      <c r="D203" s="15" t="s">
        <v>24</v>
      </c>
      <c r="E203" s="15" t="s">
        <v>31</v>
      </c>
      <c r="F203" s="15" t="s">
        <v>32</v>
      </c>
      <c r="G203" s="15" t="s">
        <v>34</v>
      </c>
      <c r="H203" s="16">
        <v>222</v>
      </c>
      <c r="I203" s="17">
        <v>223.71</v>
      </c>
      <c r="J203" s="18">
        <v>0.12</v>
      </c>
      <c r="K203" s="17">
        <v>49664.29</v>
      </c>
      <c r="L203" s="17">
        <v>43704.57</v>
      </c>
      <c r="M203" s="17">
        <v>151.05000000000001</v>
      </c>
      <c r="N203" s="17">
        <v>33533.1</v>
      </c>
      <c r="O203" s="17">
        <v>10171.469999999999</v>
      </c>
      <c r="P203" s="18">
        <v>0.23269999999999999</v>
      </c>
      <c r="Q203" s="17">
        <v>536.67999999999995</v>
      </c>
      <c r="R203" s="15" t="s">
        <v>23</v>
      </c>
    </row>
    <row r="204" spans="1:18" ht="14.25" customHeight="1" x14ac:dyDescent="0.3">
      <c r="A204" s="14">
        <v>45170</v>
      </c>
      <c r="B204" s="15">
        <v>2023</v>
      </c>
      <c r="C204" s="15" t="s">
        <v>46</v>
      </c>
      <c r="D204" s="15" t="s">
        <v>27</v>
      </c>
      <c r="E204" s="15" t="s">
        <v>20</v>
      </c>
      <c r="F204" s="15" t="s">
        <v>21</v>
      </c>
      <c r="G204" s="15" t="s">
        <v>34</v>
      </c>
      <c r="H204" s="16">
        <v>227</v>
      </c>
      <c r="I204" s="17">
        <v>225.94</v>
      </c>
      <c r="J204" s="18">
        <v>8.5000000000000006E-2</v>
      </c>
      <c r="K204" s="17">
        <v>51288.15</v>
      </c>
      <c r="L204" s="17">
        <v>46928.66</v>
      </c>
      <c r="M204" s="17">
        <v>151.05000000000001</v>
      </c>
      <c r="N204" s="17">
        <v>34288.35</v>
      </c>
      <c r="O204" s="17">
        <v>12640.31</v>
      </c>
      <c r="P204" s="18">
        <v>0.26939999999999997</v>
      </c>
      <c r="Q204" s="17">
        <v>826</v>
      </c>
      <c r="R204" s="15" t="s">
        <v>23</v>
      </c>
    </row>
    <row r="205" spans="1:18" ht="14.25" customHeight="1" x14ac:dyDescent="0.3">
      <c r="A205" s="14">
        <v>45170</v>
      </c>
      <c r="B205" s="15">
        <v>2023</v>
      </c>
      <c r="C205" s="15" t="s">
        <v>46</v>
      </c>
      <c r="D205" s="15" t="s">
        <v>30</v>
      </c>
      <c r="E205" s="15" t="s">
        <v>25</v>
      </c>
      <c r="F205" s="15" t="s">
        <v>26</v>
      </c>
      <c r="G205" s="15" t="s">
        <v>34</v>
      </c>
      <c r="H205" s="16">
        <v>112</v>
      </c>
      <c r="I205" s="17">
        <v>219.26</v>
      </c>
      <c r="J205" s="18">
        <v>5.5E-2</v>
      </c>
      <c r="K205" s="17">
        <v>24557.23</v>
      </c>
      <c r="L205" s="17">
        <v>23206.58</v>
      </c>
      <c r="M205" s="17">
        <v>151.05000000000001</v>
      </c>
      <c r="N205" s="17">
        <v>16917.599999999999</v>
      </c>
      <c r="O205" s="17">
        <v>6288.98</v>
      </c>
      <c r="P205" s="18">
        <v>0.27100000000000002</v>
      </c>
      <c r="Q205" s="17">
        <v>565.63</v>
      </c>
      <c r="R205" s="15" t="s">
        <v>23</v>
      </c>
    </row>
    <row r="206" spans="1:18" ht="14.25" customHeight="1" x14ac:dyDescent="0.3">
      <c r="A206" s="14">
        <v>45170</v>
      </c>
      <c r="B206" s="15">
        <v>2023</v>
      </c>
      <c r="C206" s="15" t="s">
        <v>46</v>
      </c>
      <c r="D206" s="15" t="s">
        <v>19</v>
      </c>
      <c r="E206" s="15" t="s">
        <v>31</v>
      </c>
      <c r="F206" s="15" t="s">
        <v>32</v>
      </c>
      <c r="G206" s="15" t="s">
        <v>35</v>
      </c>
      <c r="H206" s="16">
        <v>799</v>
      </c>
      <c r="I206" s="17">
        <v>11.07</v>
      </c>
      <c r="J206" s="18">
        <v>0.12</v>
      </c>
      <c r="K206" s="17">
        <v>8848.41</v>
      </c>
      <c r="L206" s="17">
        <v>7786.6</v>
      </c>
      <c r="M206" s="17">
        <v>5.57</v>
      </c>
      <c r="N206" s="17">
        <v>4446.4399999999996</v>
      </c>
      <c r="O206" s="17">
        <v>3340.16</v>
      </c>
      <c r="P206" s="18">
        <v>0.42899999999999999</v>
      </c>
      <c r="Q206" s="17">
        <v>225.06</v>
      </c>
      <c r="R206" s="15" t="s">
        <v>23</v>
      </c>
    </row>
    <row r="207" spans="1:18" ht="14.25" customHeight="1" x14ac:dyDescent="0.3">
      <c r="A207" s="14">
        <v>45170</v>
      </c>
      <c r="B207" s="15">
        <v>2023</v>
      </c>
      <c r="C207" s="15" t="s">
        <v>46</v>
      </c>
      <c r="D207" s="15" t="s">
        <v>24</v>
      </c>
      <c r="E207" s="15" t="s">
        <v>20</v>
      </c>
      <c r="F207" s="15" t="s">
        <v>21</v>
      </c>
      <c r="G207" s="15" t="s">
        <v>35</v>
      </c>
      <c r="H207" s="16">
        <v>808</v>
      </c>
      <c r="I207" s="17">
        <v>11.19</v>
      </c>
      <c r="J207" s="18">
        <v>8.5000000000000006E-2</v>
      </c>
      <c r="K207" s="17">
        <v>9038.01</v>
      </c>
      <c r="L207" s="17">
        <v>8269.77</v>
      </c>
      <c r="M207" s="17">
        <v>5.57</v>
      </c>
      <c r="N207" s="17">
        <v>4496.5200000000004</v>
      </c>
      <c r="O207" s="17">
        <v>3773.25</v>
      </c>
      <c r="P207" s="18">
        <v>0.45629999999999998</v>
      </c>
      <c r="Q207" s="17">
        <v>395.31</v>
      </c>
      <c r="R207" s="15" t="s">
        <v>23</v>
      </c>
    </row>
    <row r="208" spans="1:18" ht="14.25" customHeight="1" x14ac:dyDescent="0.3">
      <c r="A208" s="14">
        <v>45170</v>
      </c>
      <c r="B208" s="15">
        <v>2023</v>
      </c>
      <c r="C208" s="15" t="s">
        <v>46</v>
      </c>
      <c r="D208" s="15" t="s">
        <v>27</v>
      </c>
      <c r="E208" s="15" t="s">
        <v>25</v>
      </c>
      <c r="F208" s="15" t="s">
        <v>26</v>
      </c>
      <c r="G208" s="15" t="s">
        <v>35</v>
      </c>
      <c r="H208" s="16">
        <v>708</v>
      </c>
      <c r="I208" s="17">
        <v>11.3</v>
      </c>
      <c r="J208" s="18">
        <v>5.5E-2</v>
      </c>
      <c r="K208" s="17">
        <v>7998.24</v>
      </c>
      <c r="L208" s="17">
        <v>7558.34</v>
      </c>
      <c r="M208" s="17">
        <v>5.57</v>
      </c>
      <c r="N208" s="17">
        <v>3940.02</v>
      </c>
      <c r="O208" s="17">
        <v>3618.32</v>
      </c>
      <c r="P208" s="18">
        <v>0.47870000000000001</v>
      </c>
      <c r="Q208" s="17">
        <v>333.07</v>
      </c>
      <c r="R208" s="15" t="s">
        <v>23</v>
      </c>
    </row>
    <row r="209" spans="1:18" ht="14.25" customHeight="1" x14ac:dyDescent="0.3">
      <c r="A209" s="14">
        <v>45170</v>
      </c>
      <c r="B209" s="15">
        <v>2023</v>
      </c>
      <c r="C209" s="15" t="s">
        <v>46</v>
      </c>
      <c r="D209" s="15" t="s">
        <v>30</v>
      </c>
      <c r="E209" s="15" t="s">
        <v>31</v>
      </c>
      <c r="F209" s="15" t="s">
        <v>32</v>
      </c>
      <c r="G209" s="15" t="s">
        <v>35</v>
      </c>
      <c r="H209" s="16">
        <v>592</v>
      </c>
      <c r="I209" s="17">
        <v>10.96</v>
      </c>
      <c r="J209" s="18">
        <v>0.12</v>
      </c>
      <c r="K209" s="17">
        <v>6490.13</v>
      </c>
      <c r="L209" s="17">
        <v>5711.31</v>
      </c>
      <c r="M209" s="17">
        <v>5.57</v>
      </c>
      <c r="N209" s="17">
        <v>3294.48</v>
      </c>
      <c r="O209" s="17">
        <v>2416.83</v>
      </c>
      <c r="P209" s="18">
        <v>0.42320000000000002</v>
      </c>
      <c r="Q209" s="17">
        <v>193.07</v>
      </c>
      <c r="R209" s="15" t="s">
        <v>23</v>
      </c>
    </row>
    <row r="210" spans="1:18" ht="14.25" customHeight="1" x14ac:dyDescent="0.3">
      <c r="A210" s="14">
        <v>45170</v>
      </c>
      <c r="B210" s="15">
        <v>2023</v>
      </c>
      <c r="C210" s="15" t="s">
        <v>46</v>
      </c>
      <c r="D210" s="15" t="s">
        <v>19</v>
      </c>
      <c r="E210" s="15" t="s">
        <v>20</v>
      </c>
      <c r="F210" s="15" t="s">
        <v>21</v>
      </c>
      <c r="G210" s="15" t="s">
        <v>36</v>
      </c>
      <c r="H210" s="16">
        <v>219</v>
      </c>
      <c r="I210" s="17">
        <v>67.239999999999995</v>
      </c>
      <c r="J210" s="18">
        <v>7.0000000000000007E-2</v>
      </c>
      <c r="K210" s="17">
        <v>14725.8</v>
      </c>
      <c r="L210" s="17">
        <v>13695</v>
      </c>
      <c r="M210" s="17">
        <v>14.31</v>
      </c>
      <c r="N210" s="17">
        <v>3133.89</v>
      </c>
      <c r="O210" s="17">
        <v>10561.11</v>
      </c>
      <c r="P210" s="18">
        <v>0.7712</v>
      </c>
      <c r="Q210" s="17">
        <v>517.27</v>
      </c>
      <c r="R210" s="15" t="s">
        <v>23</v>
      </c>
    </row>
    <row r="211" spans="1:18" ht="14.25" customHeight="1" x14ac:dyDescent="0.3">
      <c r="A211" s="14">
        <v>45170</v>
      </c>
      <c r="B211" s="15">
        <v>2023</v>
      </c>
      <c r="C211" s="15" t="s">
        <v>46</v>
      </c>
      <c r="D211" s="15" t="s">
        <v>24</v>
      </c>
      <c r="E211" s="15" t="s">
        <v>28</v>
      </c>
      <c r="F211" s="15" t="s">
        <v>32</v>
      </c>
      <c r="G211" s="15" t="s">
        <v>36</v>
      </c>
      <c r="H211" s="16">
        <v>148</v>
      </c>
      <c r="I211" s="17">
        <v>67.91</v>
      </c>
      <c r="J211" s="18">
        <v>2.5000000000000001E-2</v>
      </c>
      <c r="K211" s="17">
        <v>10050.52</v>
      </c>
      <c r="L211" s="17">
        <v>9799.26</v>
      </c>
      <c r="M211" s="17">
        <v>14.31</v>
      </c>
      <c r="N211" s="17">
        <v>2117.88</v>
      </c>
      <c r="O211" s="17">
        <v>7681.38</v>
      </c>
      <c r="P211" s="18">
        <v>0.78390000000000004</v>
      </c>
      <c r="Q211" s="17">
        <v>389.44</v>
      </c>
      <c r="R211" s="15" t="s">
        <v>23</v>
      </c>
    </row>
    <row r="212" spans="1:18" ht="14.25" customHeight="1" x14ac:dyDescent="0.3">
      <c r="A212" s="14">
        <v>45170</v>
      </c>
      <c r="B212" s="15">
        <v>2023</v>
      </c>
      <c r="C212" s="15" t="s">
        <v>46</v>
      </c>
      <c r="D212" s="15" t="s">
        <v>27</v>
      </c>
      <c r="E212" s="15" t="s">
        <v>31</v>
      </c>
      <c r="F212" s="15" t="s">
        <v>32</v>
      </c>
      <c r="G212" s="15" t="s">
        <v>36</v>
      </c>
      <c r="H212" s="16">
        <v>295</v>
      </c>
      <c r="I212" s="17">
        <v>68.59</v>
      </c>
      <c r="J212" s="18">
        <v>0.105</v>
      </c>
      <c r="K212" s="17">
        <v>20234.82</v>
      </c>
      <c r="L212" s="17">
        <v>18110.16</v>
      </c>
      <c r="M212" s="17">
        <v>14.31</v>
      </c>
      <c r="N212" s="17">
        <v>4221.45</v>
      </c>
      <c r="O212" s="17">
        <v>13888.71</v>
      </c>
      <c r="P212" s="18">
        <v>0.76690000000000003</v>
      </c>
      <c r="Q212" s="17">
        <v>372.79</v>
      </c>
      <c r="R212" s="15" t="s">
        <v>23</v>
      </c>
    </row>
    <row r="213" spans="1:18" ht="14.25" customHeight="1" x14ac:dyDescent="0.3">
      <c r="A213" s="14">
        <v>45170</v>
      </c>
      <c r="B213" s="15">
        <v>2023</v>
      </c>
      <c r="C213" s="15" t="s">
        <v>46</v>
      </c>
      <c r="D213" s="15" t="s">
        <v>30</v>
      </c>
      <c r="E213" s="15" t="s">
        <v>20</v>
      </c>
      <c r="F213" s="15" t="s">
        <v>26</v>
      </c>
      <c r="G213" s="15" t="s">
        <v>36</v>
      </c>
      <c r="H213" s="16">
        <v>170</v>
      </c>
      <c r="I213" s="17">
        <v>66.56</v>
      </c>
      <c r="J213" s="18">
        <v>7.0000000000000007E-2</v>
      </c>
      <c r="K213" s="17">
        <v>11314.76</v>
      </c>
      <c r="L213" s="17">
        <v>10522.72</v>
      </c>
      <c r="M213" s="17">
        <v>14.31</v>
      </c>
      <c r="N213" s="17">
        <v>2432.6999999999998</v>
      </c>
      <c r="O213" s="17">
        <v>8090.02</v>
      </c>
      <c r="P213" s="18">
        <v>0.76880000000000004</v>
      </c>
      <c r="Q213" s="17">
        <v>463.27</v>
      </c>
      <c r="R213" s="15" t="s">
        <v>23</v>
      </c>
    </row>
    <row r="214" spans="1:18" ht="14.25" customHeight="1" x14ac:dyDescent="0.3">
      <c r="A214" s="14">
        <v>45170</v>
      </c>
      <c r="B214" s="15">
        <v>2023</v>
      </c>
      <c r="C214" s="15" t="s">
        <v>46</v>
      </c>
      <c r="D214" s="15" t="s">
        <v>19</v>
      </c>
      <c r="E214" s="15" t="s">
        <v>25</v>
      </c>
      <c r="F214" s="15" t="s">
        <v>26</v>
      </c>
      <c r="G214" s="15" t="s">
        <v>37</v>
      </c>
      <c r="H214" s="16">
        <v>162</v>
      </c>
      <c r="I214" s="17">
        <v>51.42</v>
      </c>
      <c r="J214" s="18">
        <v>0.04</v>
      </c>
      <c r="K214" s="17">
        <v>8330.14</v>
      </c>
      <c r="L214" s="17">
        <v>7996.93</v>
      </c>
      <c r="M214" s="17">
        <v>7.16</v>
      </c>
      <c r="N214" s="17">
        <v>1159.1099999999999</v>
      </c>
      <c r="O214" s="17">
        <v>6837.82</v>
      </c>
      <c r="P214" s="18">
        <v>0.85509999999999997</v>
      </c>
      <c r="Q214" s="17">
        <v>264.77</v>
      </c>
      <c r="R214" s="15" t="s">
        <v>23</v>
      </c>
    </row>
    <row r="215" spans="1:18" ht="14.25" customHeight="1" x14ac:dyDescent="0.3">
      <c r="A215" s="14">
        <v>45170</v>
      </c>
      <c r="B215" s="15">
        <v>2023</v>
      </c>
      <c r="C215" s="15" t="s">
        <v>46</v>
      </c>
      <c r="D215" s="15" t="s">
        <v>24</v>
      </c>
      <c r="E215" s="15" t="s">
        <v>28</v>
      </c>
      <c r="F215" s="15" t="s">
        <v>29</v>
      </c>
      <c r="G215" s="15" t="s">
        <v>37</v>
      </c>
      <c r="H215" s="16">
        <v>127</v>
      </c>
      <c r="I215" s="17">
        <v>51.93</v>
      </c>
      <c r="J215" s="18">
        <v>2.5000000000000001E-2</v>
      </c>
      <c r="K215" s="17">
        <v>6595.03</v>
      </c>
      <c r="L215" s="17">
        <v>6430.16</v>
      </c>
      <c r="M215" s="17">
        <v>7.16</v>
      </c>
      <c r="N215" s="17">
        <v>908.69</v>
      </c>
      <c r="O215" s="17">
        <v>5521.47</v>
      </c>
      <c r="P215" s="18">
        <v>0.85870000000000002</v>
      </c>
      <c r="Q215" s="17">
        <v>238.32</v>
      </c>
      <c r="R215" s="15" t="s">
        <v>23</v>
      </c>
    </row>
    <row r="216" spans="1:18" ht="14.25" customHeight="1" x14ac:dyDescent="0.3">
      <c r="A216" s="14">
        <v>45170</v>
      </c>
      <c r="B216" s="15">
        <v>2023</v>
      </c>
      <c r="C216" s="15" t="s">
        <v>46</v>
      </c>
      <c r="D216" s="15" t="s">
        <v>27</v>
      </c>
      <c r="E216" s="15" t="s">
        <v>20</v>
      </c>
      <c r="F216" s="15" t="s">
        <v>26</v>
      </c>
      <c r="G216" s="15" t="s">
        <v>37</v>
      </c>
      <c r="H216" s="16">
        <v>243</v>
      </c>
      <c r="I216" s="17">
        <v>52.45</v>
      </c>
      <c r="J216" s="18">
        <v>7.0000000000000007E-2</v>
      </c>
      <c r="K216" s="17">
        <v>12744.41</v>
      </c>
      <c r="L216" s="17">
        <v>11852.31</v>
      </c>
      <c r="M216" s="17">
        <v>7.16</v>
      </c>
      <c r="N216" s="17">
        <v>1738.67</v>
      </c>
      <c r="O216" s="17">
        <v>10113.64</v>
      </c>
      <c r="P216" s="18">
        <v>0.85329999999999995</v>
      </c>
      <c r="Q216" s="17">
        <v>364.94</v>
      </c>
      <c r="R216" s="15" t="s">
        <v>23</v>
      </c>
    </row>
    <row r="217" spans="1:18" ht="14.25" customHeight="1" x14ac:dyDescent="0.3">
      <c r="A217" s="14">
        <v>45170</v>
      </c>
      <c r="B217" s="15">
        <v>2023</v>
      </c>
      <c r="C217" s="15" t="s">
        <v>46</v>
      </c>
      <c r="D217" s="15" t="s">
        <v>30</v>
      </c>
      <c r="E217" s="15" t="s">
        <v>25</v>
      </c>
      <c r="F217" s="15" t="s">
        <v>21</v>
      </c>
      <c r="G217" s="15" t="s">
        <v>37</v>
      </c>
      <c r="H217" s="16">
        <v>121</v>
      </c>
      <c r="I217" s="17">
        <v>50.9</v>
      </c>
      <c r="J217" s="18">
        <v>0.04</v>
      </c>
      <c r="K217" s="17">
        <v>6158.4</v>
      </c>
      <c r="L217" s="17">
        <v>5912.07</v>
      </c>
      <c r="M217" s="17">
        <v>7.16</v>
      </c>
      <c r="N217" s="17">
        <v>865.75</v>
      </c>
      <c r="O217" s="17">
        <v>5046.3100000000004</v>
      </c>
      <c r="P217" s="18">
        <v>0.85360000000000003</v>
      </c>
      <c r="Q217" s="17">
        <v>236.44</v>
      </c>
      <c r="R217" s="15" t="s">
        <v>23</v>
      </c>
    </row>
    <row r="218" spans="1:18" ht="14.25" customHeight="1" x14ac:dyDescent="0.3">
      <c r="A218" s="14">
        <v>45200</v>
      </c>
      <c r="B218" s="15">
        <v>2023</v>
      </c>
      <c r="C218" s="15" t="s">
        <v>47</v>
      </c>
      <c r="D218" s="15" t="s">
        <v>19</v>
      </c>
      <c r="E218" s="15" t="s">
        <v>25</v>
      </c>
      <c r="F218" s="15" t="s">
        <v>26</v>
      </c>
      <c r="G218" s="15" t="s">
        <v>22</v>
      </c>
      <c r="H218" s="16">
        <v>136</v>
      </c>
      <c r="I218" s="17">
        <v>490.44</v>
      </c>
      <c r="J218" s="18">
        <v>0.08</v>
      </c>
      <c r="K218" s="17">
        <v>66699.23</v>
      </c>
      <c r="L218" s="17">
        <v>61363.29</v>
      </c>
      <c r="M218" s="17">
        <v>369.68</v>
      </c>
      <c r="N218" s="17">
        <v>50275.8</v>
      </c>
      <c r="O218" s="17">
        <v>11087.49</v>
      </c>
      <c r="P218" s="18">
        <v>0.1807</v>
      </c>
      <c r="Q218" s="17">
        <v>1390.72</v>
      </c>
      <c r="R218" s="15" t="s">
        <v>40</v>
      </c>
    </row>
    <row r="219" spans="1:18" ht="14.25" customHeight="1" x14ac:dyDescent="0.3">
      <c r="A219" s="14">
        <v>45200</v>
      </c>
      <c r="B219" s="15">
        <v>2023</v>
      </c>
      <c r="C219" s="15" t="s">
        <v>47</v>
      </c>
      <c r="D219" s="15" t="s">
        <v>24</v>
      </c>
      <c r="E219" s="15" t="s">
        <v>28</v>
      </c>
      <c r="F219" s="15" t="s">
        <v>29</v>
      </c>
      <c r="G219" s="15" t="s">
        <v>22</v>
      </c>
      <c r="H219" s="16">
        <v>109</v>
      </c>
      <c r="I219" s="17">
        <v>495.36</v>
      </c>
      <c r="J219" s="18">
        <v>6.5000000000000002E-2</v>
      </c>
      <c r="K219" s="17">
        <v>53994.73</v>
      </c>
      <c r="L219" s="17">
        <v>50485.08</v>
      </c>
      <c r="M219" s="17">
        <v>369.68</v>
      </c>
      <c r="N219" s="17">
        <v>40294.58</v>
      </c>
      <c r="O219" s="17">
        <v>10190.5</v>
      </c>
      <c r="P219" s="18">
        <v>0.2019</v>
      </c>
      <c r="Q219" s="17">
        <v>1187.24</v>
      </c>
      <c r="R219" s="15" t="s">
        <v>40</v>
      </c>
    </row>
    <row r="220" spans="1:18" ht="14.25" customHeight="1" x14ac:dyDescent="0.3">
      <c r="A220" s="14">
        <v>45200</v>
      </c>
      <c r="B220" s="15">
        <v>2023</v>
      </c>
      <c r="C220" s="15" t="s">
        <v>47</v>
      </c>
      <c r="D220" s="15" t="s">
        <v>27</v>
      </c>
      <c r="E220" s="15" t="s">
        <v>31</v>
      </c>
      <c r="F220" s="15" t="s">
        <v>32</v>
      </c>
      <c r="G220" s="15" t="s">
        <v>22</v>
      </c>
      <c r="H220" s="16">
        <v>221</v>
      </c>
      <c r="I220" s="17">
        <v>500.29</v>
      </c>
      <c r="J220" s="18">
        <v>0.14499999999999999</v>
      </c>
      <c r="K220" s="17">
        <v>110564.86</v>
      </c>
      <c r="L220" s="17">
        <v>94532.96</v>
      </c>
      <c r="M220" s="17">
        <v>369.68</v>
      </c>
      <c r="N220" s="17">
        <v>81698.179999999993</v>
      </c>
      <c r="O220" s="17">
        <v>12834.78</v>
      </c>
      <c r="P220" s="18">
        <v>0.1358</v>
      </c>
      <c r="Q220" s="17">
        <v>1158.32</v>
      </c>
      <c r="R220" s="15" t="s">
        <v>40</v>
      </c>
    </row>
    <row r="221" spans="1:18" ht="14.25" customHeight="1" x14ac:dyDescent="0.3">
      <c r="A221" s="14">
        <v>45200</v>
      </c>
      <c r="B221" s="15">
        <v>2023</v>
      </c>
      <c r="C221" s="15" t="s">
        <v>47</v>
      </c>
      <c r="D221" s="15" t="s">
        <v>30</v>
      </c>
      <c r="E221" s="15" t="s">
        <v>20</v>
      </c>
      <c r="F221" s="15" t="s">
        <v>21</v>
      </c>
      <c r="G221" s="15" t="s">
        <v>22</v>
      </c>
      <c r="H221" s="16">
        <v>134</v>
      </c>
      <c r="I221" s="17">
        <v>485.51</v>
      </c>
      <c r="J221" s="18">
        <v>0.11</v>
      </c>
      <c r="K221" s="17">
        <v>65057.87</v>
      </c>
      <c r="L221" s="17">
        <v>57901.5</v>
      </c>
      <c r="M221" s="17">
        <v>369.68</v>
      </c>
      <c r="N221" s="17">
        <v>49536.45</v>
      </c>
      <c r="O221" s="17">
        <v>8365.0499999999993</v>
      </c>
      <c r="P221" s="18">
        <v>0.14449999999999999</v>
      </c>
      <c r="Q221" s="17">
        <v>1426.67</v>
      </c>
      <c r="R221" s="15" t="s">
        <v>40</v>
      </c>
    </row>
    <row r="222" spans="1:18" ht="14.25" customHeight="1" x14ac:dyDescent="0.3">
      <c r="A222" s="14">
        <v>45200</v>
      </c>
      <c r="B222" s="15">
        <v>2023</v>
      </c>
      <c r="C222" s="15" t="s">
        <v>47</v>
      </c>
      <c r="D222" s="15" t="s">
        <v>19</v>
      </c>
      <c r="E222" s="15" t="s">
        <v>28</v>
      </c>
      <c r="F222" s="15" t="s">
        <v>29</v>
      </c>
      <c r="G222" s="15" t="s">
        <v>33</v>
      </c>
      <c r="H222" s="16">
        <v>72</v>
      </c>
      <c r="I222" s="17">
        <v>696.1</v>
      </c>
      <c r="J222" s="18">
        <v>6.5000000000000002E-2</v>
      </c>
      <c r="K222" s="17">
        <v>50119.34</v>
      </c>
      <c r="L222" s="17">
        <v>46861.59</v>
      </c>
      <c r="M222" s="17">
        <v>548.54999999999995</v>
      </c>
      <c r="N222" s="17">
        <v>39495.599999999999</v>
      </c>
      <c r="O222" s="17">
        <v>7365.99</v>
      </c>
      <c r="P222" s="18">
        <v>0.15720000000000001</v>
      </c>
      <c r="Q222" s="17">
        <v>1184.8399999999999</v>
      </c>
      <c r="R222" s="15" t="s">
        <v>40</v>
      </c>
    </row>
    <row r="223" spans="1:18" ht="14.25" customHeight="1" x14ac:dyDescent="0.3">
      <c r="A223" s="14">
        <v>45200</v>
      </c>
      <c r="B223" s="15">
        <v>2023</v>
      </c>
      <c r="C223" s="15" t="s">
        <v>47</v>
      </c>
      <c r="D223" s="15" t="s">
        <v>24</v>
      </c>
      <c r="E223" s="15" t="s">
        <v>31</v>
      </c>
      <c r="F223" s="15" t="s">
        <v>32</v>
      </c>
      <c r="G223" s="15" t="s">
        <v>33</v>
      </c>
      <c r="H223" s="16">
        <v>150</v>
      </c>
      <c r="I223" s="17">
        <v>703.1</v>
      </c>
      <c r="J223" s="18">
        <v>0.14499999999999999</v>
      </c>
      <c r="K223" s="17">
        <v>105464.7</v>
      </c>
      <c r="L223" s="17">
        <v>90172.32</v>
      </c>
      <c r="M223" s="17">
        <v>548.54999999999995</v>
      </c>
      <c r="N223" s="17">
        <v>82282.5</v>
      </c>
      <c r="O223" s="17">
        <v>7889.82</v>
      </c>
      <c r="P223" s="18">
        <v>8.7499999999999994E-2</v>
      </c>
      <c r="Q223" s="17">
        <v>1125.79</v>
      </c>
      <c r="R223" s="15" t="s">
        <v>40</v>
      </c>
    </row>
    <row r="224" spans="1:18" ht="14.25" customHeight="1" x14ac:dyDescent="0.3">
      <c r="A224" s="14">
        <v>45200</v>
      </c>
      <c r="B224" s="15">
        <v>2023</v>
      </c>
      <c r="C224" s="15" t="s">
        <v>47</v>
      </c>
      <c r="D224" s="15" t="s">
        <v>27</v>
      </c>
      <c r="E224" s="15" t="s">
        <v>20</v>
      </c>
      <c r="F224" s="15" t="s">
        <v>21</v>
      </c>
      <c r="G224" s="15" t="s">
        <v>33</v>
      </c>
      <c r="H224" s="16">
        <v>153</v>
      </c>
      <c r="I224" s="17">
        <v>710.09</v>
      </c>
      <c r="J224" s="18">
        <v>0.11</v>
      </c>
      <c r="K224" s="17">
        <v>108644.38</v>
      </c>
      <c r="L224" s="17">
        <v>96693.5</v>
      </c>
      <c r="M224" s="17">
        <v>548.54999999999995</v>
      </c>
      <c r="N224" s="17">
        <v>83928.15</v>
      </c>
      <c r="O224" s="17">
        <v>12765.35</v>
      </c>
      <c r="P224" s="18">
        <v>0.13200000000000001</v>
      </c>
      <c r="Q224" s="17">
        <v>1788.99</v>
      </c>
      <c r="R224" s="15" t="s">
        <v>40</v>
      </c>
    </row>
    <row r="225" spans="1:18" ht="14.25" customHeight="1" x14ac:dyDescent="0.3">
      <c r="A225" s="14">
        <v>45200</v>
      </c>
      <c r="B225" s="15">
        <v>2023</v>
      </c>
      <c r="C225" s="15" t="s">
        <v>47</v>
      </c>
      <c r="D225" s="15" t="s">
        <v>30</v>
      </c>
      <c r="E225" s="15" t="s">
        <v>25</v>
      </c>
      <c r="F225" s="15" t="s">
        <v>26</v>
      </c>
      <c r="G225" s="15" t="s">
        <v>33</v>
      </c>
      <c r="H225" s="16">
        <v>81</v>
      </c>
      <c r="I225" s="17">
        <v>689.11</v>
      </c>
      <c r="J225" s="18">
        <v>0.08</v>
      </c>
      <c r="K225" s="17">
        <v>55817.59</v>
      </c>
      <c r="L225" s="17">
        <v>51352.18</v>
      </c>
      <c r="M225" s="17">
        <v>548.54999999999995</v>
      </c>
      <c r="N225" s="17">
        <v>44432.55</v>
      </c>
      <c r="O225" s="17">
        <v>6919.63</v>
      </c>
      <c r="P225" s="18">
        <v>0.13469999999999999</v>
      </c>
      <c r="Q225" s="17">
        <v>1181.03</v>
      </c>
      <c r="R225" s="15" t="s">
        <v>40</v>
      </c>
    </row>
    <row r="226" spans="1:18" ht="14.25" customHeight="1" x14ac:dyDescent="0.3">
      <c r="A226" s="14">
        <v>45200</v>
      </c>
      <c r="B226" s="15">
        <v>2023</v>
      </c>
      <c r="C226" s="15" t="s">
        <v>47</v>
      </c>
      <c r="D226" s="15" t="s">
        <v>19</v>
      </c>
      <c r="E226" s="15" t="s">
        <v>31</v>
      </c>
      <c r="F226" s="15" t="s">
        <v>32</v>
      </c>
      <c r="G226" s="15" t="s">
        <v>34</v>
      </c>
      <c r="H226" s="16">
        <v>273</v>
      </c>
      <c r="I226" s="17">
        <v>221.49</v>
      </c>
      <c r="J226" s="18">
        <v>0.14499999999999999</v>
      </c>
      <c r="K226" s="17">
        <v>60465.95</v>
      </c>
      <c r="L226" s="17">
        <v>51698.39</v>
      </c>
      <c r="M226" s="17">
        <v>151.05000000000001</v>
      </c>
      <c r="N226" s="17">
        <v>41236.65</v>
      </c>
      <c r="O226" s="17">
        <v>10461.74</v>
      </c>
      <c r="P226" s="18">
        <v>0.2024</v>
      </c>
      <c r="Q226" s="17">
        <v>710.76</v>
      </c>
      <c r="R226" s="15" t="s">
        <v>40</v>
      </c>
    </row>
    <row r="227" spans="1:18" ht="14.25" customHeight="1" x14ac:dyDescent="0.3">
      <c r="A227" s="14">
        <v>45200</v>
      </c>
      <c r="B227" s="15">
        <v>2023</v>
      </c>
      <c r="C227" s="15" t="s">
        <v>47</v>
      </c>
      <c r="D227" s="15" t="s">
        <v>24</v>
      </c>
      <c r="E227" s="15" t="s">
        <v>20</v>
      </c>
      <c r="F227" s="15" t="s">
        <v>21</v>
      </c>
      <c r="G227" s="15" t="s">
        <v>34</v>
      </c>
      <c r="H227" s="16">
        <v>272</v>
      </c>
      <c r="I227" s="17">
        <v>223.71</v>
      </c>
      <c r="J227" s="18">
        <v>0.11</v>
      </c>
      <c r="K227" s="17">
        <v>60849.94</v>
      </c>
      <c r="L227" s="17">
        <v>54156.44</v>
      </c>
      <c r="M227" s="17">
        <v>151.05000000000001</v>
      </c>
      <c r="N227" s="17">
        <v>41085.599999999999</v>
      </c>
      <c r="O227" s="17">
        <v>13070.84</v>
      </c>
      <c r="P227" s="18">
        <v>0.2414</v>
      </c>
      <c r="Q227" s="17">
        <v>1226.57</v>
      </c>
      <c r="R227" s="15" t="s">
        <v>40</v>
      </c>
    </row>
    <row r="228" spans="1:18" ht="14.25" customHeight="1" x14ac:dyDescent="0.3">
      <c r="A228" s="14">
        <v>45200</v>
      </c>
      <c r="B228" s="15">
        <v>2023</v>
      </c>
      <c r="C228" s="15" t="s">
        <v>47</v>
      </c>
      <c r="D228" s="15" t="s">
        <v>27</v>
      </c>
      <c r="E228" s="15" t="s">
        <v>25</v>
      </c>
      <c r="F228" s="15" t="s">
        <v>26</v>
      </c>
      <c r="G228" s="15" t="s">
        <v>34</v>
      </c>
      <c r="H228" s="16">
        <v>230</v>
      </c>
      <c r="I228" s="17">
        <v>225.94</v>
      </c>
      <c r="J228" s="18">
        <v>0.08</v>
      </c>
      <c r="K228" s="17">
        <v>51965.97</v>
      </c>
      <c r="L228" s="17">
        <v>47808.69</v>
      </c>
      <c r="M228" s="17">
        <v>151.05000000000001</v>
      </c>
      <c r="N228" s="17">
        <v>34741.5</v>
      </c>
      <c r="O228" s="17">
        <v>13067.19</v>
      </c>
      <c r="P228" s="18">
        <v>0.27329999999999999</v>
      </c>
      <c r="Q228" s="17">
        <v>1036.98</v>
      </c>
      <c r="R228" s="15" t="s">
        <v>40</v>
      </c>
    </row>
    <row r="229" spans="1:18" ht="14.25" customHeight="1" x14ac:dyDescent="0.3">
      <c r="A229" s="14">
        <v>45200</v>
      </c>
      <c r="B229" s="15">
        <v>2023</v>
      </c>
      <c r="C229" s="15" t="s">
        <v>47</v>
      </c>
      <c r="D229" s="15" t="s">
        <v>30</v>
      </c>
      <c r="E229" s="15" t="s">
        <v>31</v>
      </c>
      <c r="F229" s="15" t="s">
        <v>32</v>
      </c>
      <c r="G229" s="15" t="s">
        <v>34</v>
      </c>
      <c r="H229" s="16">
        <v>199</v>
      </c>
      <c r="I229" s="17">
        <v>219.26</v>
      </c>
      <c r="J229" s="18">
        <v>0.14499999999999999</v>
      </c>
      <c r="K229" s="17">
        <v>43632.94</v>
      </c>
      <c r="L229" s="17">
        <v>37306.160000000003</v>
      </c>
      <c r="M229" s="17">
        <v>151.05000000000001</v>
      </c>
      <c r="N229" s="17">
        <v>30058.95</v>
      </c>
      <c r="O229" s="17">
        <v>7247.21</v>
      </c>
      <c r="P229" s="18">
        <v>0.1943</v>
      </c>
      <c r="Q229" s="17">
        <v>629.94000000000005</v>
      </c>
      <c r="R229" s="15" t="s">
        <v>40</v>
      </c>
    </row>
    <row r="230" spans="1:18" ht="14.25" customHeight="1" x14ac:dyDescent="0.3">
      <c r="A230" s="14">
        <v>45200</v>
      </c>
      <c r="B230" s="15">
        <v>2023</v>
      </c>
      <c r="C230" s="15" t="s">
        <v>47</v>
      </c>
      <c r="D230" s="15" t="s">
        <v>19</v>
      </c>
      <c r="E230" s="15" t="s">
        <v>20</v>
      </c>
      <c r="F230" s="15" t="s">
        <v>21</v>
      </c>
      <c r="G230" s="15" t="s">
        <v>35</v>
      </c>
      <c r="H230" s="16">
        <v>999</v>
      </c>
      <c r="I230" s="17">
        <v>11.07</v>
      </c>
      <c r="J230" s="18">
        <v>0.11</v>
      </c>
      <c r="K230" s="17">
        <v>11063.28</v>
      </c>
      <c r="L230" s="17">
        <v>9846.31</v>
      </c>
      <c r="M230" s="17">
        <v>5.57</v>
      </c>
      <c r="N230" s="17">
        <v>5559.44</v>
      </c>
      <c r="O230" s="17">
        <v>4286.88</v>
      </c>
      <c r="P230" s="18">
        <v>0.43540000000000001</v>
      </c>
      <c r="Q230" s="17">
        <v>528.58000000000004</v>
      </c>
      <c r="R230" s="15" t="s">
        <v>40</v>
      </c>
    </row>
    <row r="231" spans="1:18" ht="14.25" customHeight="1" x14ac:dyDescent="0.3">
      <c r="A231" s="14">
        <v>45200</v>
      </c>
      <c r="B231" s="15">
        <v>2023</v>
      </c>
      <c r="C231" s="15" t="s">
        <v>47</v>
      </c>
      <c r="D231" s="15" t="s">
        <v>24</v>
      </c>
      <c r="E231" s="15" t="s">
        <v>25</v>
      </c>
      <c r="F231" s="15" t="s">
        <v>26</v>
      </c>
      <c r="G231" s="15" t="s">
        <v>35</v>
      </c>
      <c r="H231" s="16">
        <v>883</v>
      </c>
      <c r="I231" s="17">
        <v>11.19</v>
      </c>
      <c r="J231" s="18">
        <v>0.08</v>
      </c>
      <c r="K231" s="17">
        <v>9876.93</v>
      </c>
      <c r="L231" s="17">
        <v>9086.7800000000007</v>
      </c>
      <c r="M231" s="17">
        <v>5.57</v>
      </c>
      <c r="N231" s="17">
        <v>4913.8999999999996</v>
      </c>
      <c r="O231" s="17">
        <v>4172.88</v>
      </c>
      <c r="P231" s="18">
        <v>0.4592</v>
      </c>
      <c r="Q231" s="17">
        <v>474.26</v>
      </c>
      <c r="R231" s="15" t="s">
        <v>40</v>
      </c>
    </row>
    <row r="232" spans="1:18" ht="14.25" customHeight="1" x14ac:dyDescent="0.3">
      <c r="A232" s="14">
        <v>45200</v>
      </c>
      <c r="B232" s="15">
        <v>2023</v>
      </c>
      <c r="C232" s="15" t="s">
        <v>47</v>
      </c>
      <c r="D232" s="15" t="s">
        <v>27</v>
      </c>
      <c r="E232" s="15" t="s">
        <v>31</v>
      </c>
      <c r="F232" s="15" t="s">
        <v>32</v>
      </c>
      <c r="G232" s="15" t="s">
        <v>35</v>
      </c>
      <c r="H232" s="16">
        <v>1211</v>
      </c>
      <c r="I232" s="17">
        <v>11.3</v>
      </c>
      <c r="J232" s="18">
        <v>0.14499999999999999</v>
      </c>
      <c r="K232" s="17">
        <v>13680.61</v>
      </c>
      <c r="L232" s="17">
        <v>11696.92</v>
      </c>
      <c r="M232" s="17">
        <v>5.57</v>
      </c>
      <c r="N232" s="17">
        <v>6739.22</v>
      </c>
      <c r="O232" s="17">
        <v>4957.71</v>
      </c>
      <c r="P232" s="18">
        <v>0.42380000000000001</v>
      </c>
      <c r="Q232" s="17">
        <v>369.2</v>
      </c>
      <c r="R232" s="15" t="s">
        <v>40</v>
      </c>
    </row>
    <row r="233" spans="1:18" ht="14.25" customHeight="1" x14ac:dyDescent="0.3">
      <c r="A233" s="14">
        <v>45200</v>
      </c>
      <c r="B233" s="15">
        <v>2023</v>
      </c>
      <c r="C233" s="15" t="s">
        <v>47</v>
      </c>
      <c r="D233" s="15" t="s">
        <v>30</v>
      </c>
      <c r="E233" s="15" t="s">
        <v>20</v>
      </c>
      <c r="F233" s="15" t="s">
        <v>26</v>
      </c>
      <c r="G233" s="15" t="s">
        <v>35</v>
      </c>
      <c r="H233" s="16">
        <v>736</v>
      </c>
      <c r="I233" s="17">
        <v>10.96</v>
      </c>
      <c r="J233" s="18">
        <v>0.11</v>
      </c>
      <c r="K233" s="17">
        <v>8068.8</v>
      </c>
      <c r="L233" s="17">
        <v>7181.24</v>
      </c>
      <c r="M233" s="17">
        <v>5.57</v>
      </c>
      <c r="N233" s="17">
        <v>4095.84</v>
      </c>
      <c r="O233" s="17">
        <v>3085.39</v>
      </c>
      <c r="P233" s="18">
        <v>0.42959999999999998</v>
      </c>
      <c r="Q233" s="17">
        <v>457.67</v>
      </c>
      <c r="R233" s="15" t="s">
        <v>40</v>
      </c>
    </row>
    <row r="234" spans="1:18" ht="14.25" customHeight="1" x14ac:dyDescent="0.3">
      <c r="A234" s="14">
        <v>45200</v>
      </c>
      <c r="B234" s="15">
        <v>2023</v>
      </c>
      <c r="C234" s="15" t="s">
        <v>47</v>
      </c>
      <c r="D234" s="15" t="s">
        <v>19</v>
      </c>
      <c r="E234" s="15" t="s">
        <v>28</v>
      </c>
      <c r="F234" s="15" t="s">
        <v>32</v>
      </c>
      <c r="G234" s="15" t="s">
        <v>36</v>
      </c>
      <c r="H234" s="16">
        <v>168</v>
      </c>
      <c r="I234" s="17">
        <v>67.239999999999995</v>
      </c>
      <c r="J234" s="18">
        <v>0.05</v>
      </c>
      <c r="K234" s="17">
        <v>11296.5</v>
      </c>
      <c r="L234" s="17">
        <v>10731.68</v>
      </c>
      <c r="M234" s="17">
        <v>14.31</v>
      </c>
      <c r="N234" s="17">
        <v>2404.08</v>
      </c>
      <c r="O234" s="17">
        <v>8327.6</v>
      </c>
      <c r="P234" s="18">
        <v>0.77600000000000002</v>
      </c>
      <c r="Q234" s="17">
        <v>533.16999999999996</v>
      </c>
      <c r="R234" s="15" t="s">
        <v>40</v>
      </c>
    </row>
    <row r="235" spans="1:18" ht="14.25" customHeight="1" x14ac:dyDescent="0.3">
      <c r="A235" s="14">
        <v>45200</v>
      </c>
      <c r="B235" s="15">
        <v>2023</v>
      </c>
      <c r="C235" s="15" t="s">
        <v>47</v>
      </c>
      <c r="D235" s="15" t="s">
        <v>24</v>
      </c>
      <c r="E235" s="15" t="s">
        <v>31</v>
      </c>
      <c r="F235" s="15" t="s">
        <v>32</v>
      </c>
      <c r="G235" s="15" t="s">
        <v>36</v>
      </c>
      <c r="H235" s="16">
        <v>342</v>
      </c>
      <c r="I235" s="17">
        <v>67.91</v>
      </c>
      <c r="J235" s="18">
        <v>0.13</v>
      </c>
      <c r="K235" s="17">
        <v>23224.84</v>
      </c>
      <c r="L235" s="17">
        <v>20205.62</v>
      </c>
      <c r="M235" s="17">
        <v>14.31</v>
      </c>
      <c r="N235" s="17">
        <v>4894.0200000000004</v>
      </c>
      <c r="O235" s="17">
        <v>15311.6</v>
      </c>
      <c r="P235" s="18">
        <v>0.75780000000000003</v>
      </c>
      <c r="Q235" s="17">
        <v>531.33000000000004</v>
      </c>
      <c r="R235" s="15" t="s">
        <v>40</v>
      </c>
    </row>
    <row r="236" spans="1:18" ht="14.25" customHeight="1" x14ac:dyDescent="0.3">
      <c r="A236" s="14">
        <v>45200</v>
      </c>
      <c r="B236" s="15">
        <v>2023</v>
      </c>
      <c r="C236" s="15" t="s">
        <v>47</v>
      </c>
      <c r="D236" s="15" t="s">
        <v>27</v>
      </c>
      <c r="E236" s="15" t="s">
        <v>20</v>
      </c>
      <c r="F236" s="15" t="s">
        <v>26</v>
      </c>
      <c r="G236" s="15" t="s">
        <v>36</v>
      </c>
      <c r="H236" s="16">
        <v>356</v>
      </c>
      <c r="I236" s="17">
        <v>68.59</v>
      </c>
      <c r="J236" s="18">
        <v>9.5000000000000001E-2</v>
      </c>
      <c r="K236" s="17">
        <v>24418.97</v>
      </c>
      <c r="L236" s="17">
        <v>22099.16</v>
      </c>
      <c r="M236" s="17">
        <v>14.31</v>
      </c>
      <c r="N236" s="17">
        <v>5094.3599999999997</v>
      </c>
      <c r="O236" s="17">
        <v>17004.8</v>
      </c>
      <c r="P236" s="18">
        <v>0.76949999999999996</v>
      </c>
      <c r="Q236" s="17">
        <v>823.91</v>
      </c>
      <c r="R236" s="15" t="s">
        <v>40</v>
      </c>
    </row>
    <row r="237" spans="1:18" ht="14.25" customHeight="1" x14ac:dyDescent="0.3">
      <c r="A237" s="14">
        <v>45200</v>
      </c>
      <c r="B237" s="15">
        <v>2023</v>
      </c>
      <c r="C237" s="15" t="s">
        <v>47</v>
      </c>
      <c r="D237" s="15" t="s">
        <v>30</v>
      </c>
      <c r="E237" s="15" t="s">
        <v>28</v>
      </c>
      <c r="F237" s="15" t="s">
        <v>29</v>
      </c>
      <c r="G237" s="15" t="s">
        <v>36</v>
      </c>
      <c r="H237" s="16">
        <v>129</v>
      </c>
      <c r="I237" s="17">
        <v>66.56</v>
      </c>
      <c r="J237" s="18">
        <v>0.05</v>
      </c>
      <c r="K237" s="17">
        <v>8585.9</v>
      </c>
      <c r="L237" s="17">
        <v>8156.61</v>
      </c>
      <c r="M237" s="17">
        <v>14.31</v>
      </c>
      <c r="N237" s="17">
        <v>1845.99</v>
      </c>
      <c r="O237" s="17">
        <v>6310.62</v>
      </c>
      <c r="P237" s="18">
        <v>0.77370000000000005</v>
      </c>
      <c r="Q237" s="17">
        <v>484.81</v>
      </c>
      <c r="R237" s="15" t="s">
        <v>40</v>
      </c>
    </row>
    <row r="238" spans="1:18" ht="14.25" customHeight="1" x14ac:dyDescent="0.3">
      <c r="A238" s="14">
        <v>45200</v>
      </c>
      <c r="B238" s="15">
        <v>2023</v>
      </c>
      <c r="C238" s="15" t="s">
        <v>47</v>
      </c>
      <c r="D238" s="15" t="s">
        <v>19</v>
      </c>
      <c r="E238" s="15" t="s">
        <v>28</v>
      </c>
      <c r="F238" s="15" t="s">
        <v>29</v>
      </c>
      <c r="G238" s="15" t="s">
        <v>37</v>
      </c>
      <c r="H238" s="16">
        <v>144</v>
      </c>
      <c r="I238" s="17">
        <v>51.42</v>
      </c>
      <c r="J238" s="18">
        <v>0.05</v>
      </c>
      <c r="K238" s="17">
        <v>7404.57</v>
      </c>
      <c r="L238" s="17">
        <v>7034.33</v>
      </c>
      <c r="M238" s="17">
        <v>7.16</v>
      </c>
      <c r="N238" s="17">
        <v>1030.32</v>
      </c>
      <c r="O238" s="17">
        <v>6004.01</v>
      </c>
      <c r="P238" s="18">
        <v>0.85350000000000004</v>
      </c>
      <c r="Q238" s="17">
        <v>329.95</v>
      </c>
      <c r="R238" s="15" t="s">
        <v>40</v>
      </c>
    </row>
    <row r="239" spans="1:18" ht="14.25" customHeight="1" x14ac:dyDescent="0.3">
      <c r="A239" s="14">
        <v>45200</v>
      </c>
      <c r="B239" s="15">
        <v>2023</v>
      </c>
      <c r="C239" s="15" t="s">
        <v>47</v>
      </c>
      <c r="D239" s="15" t="s">
        <v>24</v>
      </c>
      <c r="E239" s="15" t="s">
        <v>20</v>
      </c>
      <c r="F239" s="15" t="s">
        <v>26</v>
      </c>
      <c r="G239" s="15" t="s">
        <v>37</v>
      </c>
      <c r="H239" s="16">
        <v>276</v>
      </c>
      <c r="I239" s="17">
        <v>51.93</v>
      </c>
      <c r="J239" s="18">
        <v>9.5000000000000001E-2</v>
      </c>
      <c r="K239" s="17">
        <v>14332.51</v>
      </c>
      <c r="L239" s="17">
        <v>12970.93</v>
      </c>
      <c r="M239" s="17">
        <v>7.16</v>
      </c>
      <c r="N239" s="17">
        <v>1974.78</v>
      </c>
      <c r="O239" s="17">
        <v>10996.15</v>
      </c>
      <c r="P239" s="18">
        <v>0.8478</v>
      </c>
      <c r="Q239" s="17">
        <v>522.98</v>
      </c>
      <c r="R239" s="15" t="s">
        <v>40</v>
      </c>
    </row>
    <row r="240" spans="1:18" ht="14.25" customHeight="1" x14ac:dyDescent="0.3">
      <c r="A240" s="14">
        <v>45200</v>
      </c>
      <c r="B240" s="15">
        <v>2023</v>
      </c>
      <c r="C240" s="15" t="s">
        <v>47</v>
      </c>
      <c r="D240" s="15" t="s">
        <v>27</v>
      </c>
      <c r="E240" s="15" t="s">
        <v>25</v>
      </c>
      <c r="F240" s="15" t="s">
        <v>21</v>
      </c>
      <c r="G240" s="15" t="s">
        <v>37</v>
      </c>
      <c r="H240" s="16">
        <v>250</v>
      </c>
      <c r="I240" s="17">
        <v>52.45</v>
      </c>
      <c r="J240" s="18">
        <v>6.5000000000000002E-2</v>
      </c>
      <c r="K240" s="17">
        <v>13111.54</v>
      </c>
      <c r="L240" s="17">
        <v>12259.29</v>
      </c>
      <c r="M240" s="17">
        <v>7.16</v>
      </c>
      <c r="N240" s="17">
        <v>1788.75</v>
      </c>
      <c r="O240" s="17">
        <v>10470.540000000001</v>
      </c>
      <c r="P240" s="18">
        <v>0.85409999999999997</v>
      </c>
      <c r="Q240" s="17">
        <v>452.16</v>
      </c>
      <c r="R240" s="15" t="s">
        <v>40</v>
      </c>
    </row>
    <row r="241" spans="1:18" ht="14.25" customHeight="1" x14ac:dyDescent="0.3">
      <c r="A241" s="14">
        <v>45200</v>
      </c>
      <c r="B241" s="15">
        <v>2023</v>
      </c>
      <c r="C241" s="15" t="s">
        <v>47</v>
      </c>
      <c r="D241" s="15" t="s">
        <v>30</v>
      </c>
      <c r="E241" s="15" t="s">
        <v>28</v>
      </c>
      <c r="F241" s="15" t="s">
        <v>32</v>
      </c>
      <c r="G241" s="15" t="s">
        <v>37</v>
      </c>
      <c r="H241" s="16">
        <v>119</v>
      </c>
      <c r="I241" s="17">
        <v>50.9</v>
      </c>
      <c r="J241" s="18">
        <v>0.05</v>
      </c>
      <c r="K241" s="17">
        <v>6056.61</v>
      </c>
      <c r="L241" s="17">
        <v>5753.78</v>
      </c>
      <c r="M241" s="17">
        <v>7.16</v>
      </c>
      <c r="N241" s="17">
        <v>851.45</v>
      </c>
      <c r="O241" s="17">
        <v>4902.34</v>
      </c>
      <c r="P241" s="18">
        <v>0.85199999999999998</v>
      </c>
      <c r="Q241" s="17">
        <v>303.64999999999998</v>
      </c>
      <c r="R241" s="15" t="s">
        <v>40</v>
      </c>
    </row>
    <row r="242" spans="1:18" ht="14.25" customHeight="1" x14ac:dyDescent="0.3">
      <c r="A242" s="14">
        <v>45231</v>
      </c>
      <c r="B242" s="15">
        <v>2023</v>
      </c>
      <c r="C242" s="15" t="s">
        <v>48</v>
      </c>
      <c r="D242" s="15" t="s">
        <v>19</v>
      </c>
      <c r="E242" s="15" t="s">
        <v>28</v>
      </c>
      <c r="F242" s="15" t="s">
        <v>29</v>
      </c>
      <c r="G242" s="15" t="s">
        <v>22</v>
      </c>
      <c r="H242" s="16">
        <v>104</v>
      </c>
      <c r="I242" s="17">
        <v>490.44</v>
      </c>
      <c r="J242" s="18">
        <v>6.5000000000000002E-2</v>
      </c>
      <c r="K242" s="17">
        <v>51005.29</v>
      </c>
      <c r="L242" s="17">
        <v>47689.95</v>
      </c>
      <c r="M242" s="17">
        <v>369.68</v>
      </c>
      <c r="N242" s="17">
        <v>38446.199999999997</v>
      </c>
      <c r="O242" s="17">
        <v>9243.75</v>
      </c>
      <c r="P242" s="18">
        <v>0.1938</v>
      </c>
      <c r="Q242" s="17">
        <v>1095.26</v>
      </c>
      <c r="R242" s="15" t="s">
        <v>40</v>
      </c>
    </row>
    <row r="243" spans="1:18" ht="14.25" customHeight="1" x14ac:dyDescent="0.3">
      <c r="A243" s="14">
        <v>45231</v>
      </c>
      <c r="B243" s="15">
        <v>2023</v>
      </c>
      <c r="C243" s="15" t="s">
        <v>48</v>
      </c>
      <c r="D243" s="15" t="s">
        <v>24</v>
      </c>
      <c r="E243" s="15" t="s">
        <v>31</v>
      </c>
      <c r="F243" s="15" t="s">
        <v>32</v>
      </c>
      <c r="G243" s="15" t="s">
        <v>22</v>
      </c>
      <c r="H243" s="16">
        <v>219</v>
      </c>
      <c r="I243" s="17">
        <v>495.36</v>
      </c>
      <c r="J243" s="18">
        <v>0.14499999999999999</v>
      </c>
      <c r="K243" s="17">
        <v>108484.83</v>
      </c>
      <c r="L243" s="17">
        <v>92754.53</v>
      </c>
      <c r="M243" s="17">
        <v>369.68</v>
      </c>
      <c r="N243" s="17">
        <v>80958.83</v>
      </c>
      <c r="O243" s="17">
        <v>11795.7</v>
      </c>
      <c r="P243" s="18">
        <v>0.12720000000000001</v>
      </c>
      <c r="Q243" s="17">
        <v>1108.7</v>
      </c>
      <c r="R243" s="15" t="s">
        <v>40</v>
      </c>
    </row>
    <row r="244" spans="1:18" ht="14.25" customHeight="1" x14ac:dyDescent="0.3">
      <c r="A244" s="14">
        <v>45231</v>
      </c>
      <c r="B244" s="15">
        <v>2023</v>
      </c>
      <c r="C244" s="15" t="s">
        <v>48</v>
      </c>
      <c r="D244" s="15" t="s">
        <v>27</v>
      </c>
      <c r="E244" s="15" t="s">
        <v>20</v>
      </c>
      <c r="F244" s="15" t="s">
        <v>21</v>
      </c>
      <c r="G244" s="15" t="s">
        <v>22</v>
      </c>
      <c r="H244" s="16">
        <v>228</v>
      </c>
      <c r="I244" s="17">
        <v>500.29</v>
      </c>
      <c r="J244" s="18">
        <v>0.11</v>
      </c>
      <c r="K244" s="17">
        <v>114066.92</v>
      </c>
      <c r="L244" s="17">
        <v>101519.56</v>
      </c>
      <c r="M244" s="17">
        <v>369.68</v>
      </c>
      <c r="N244" s="17">
        <v>84285.9</v>
      </c>
      <c r="O244" s="17">
        <v>17233.66</v>
      </c>
      <c r="P244" s="18">
        <v>0.16980000000000001</v>
      </c>
      <c r="Q244" s="17">
        <v>1837.32</v>
      </c>
      <c r="R244" s="15" t="s">
        <v>40</v>
      </c>
    </row>
    <row r="245" spans="1:18" ht="14.25" customHeight="1" x14ac:dyDescent="0.3">
      <c r="A245" s="14">
        <v>45231</v>
      </c>
      <c r="B245" s="15">
        <v>2023</v>
      </c>
      <c r="C245" s="15" t="s">
        <v>48</v>
      </c>
      <c r="D245" s="15" t="s">
        <v>30</v>
      </c>
      <c r="E245" s="15" t="s">
        <v>25</v>
      </c>
      <c r="F245" s="15" t="s">
        <v>26</v>
      </c>
      <c r="G245" s="15" t="s">
        <v>22</v>
      </c>
      <c r="H245" s="16">
        <v>116</v>
      </c>
      <c r="I245" s="17">
        <v>485.51</v>
      </c>
      <c r="J245" s="18">
        <v>0.08</v>
      </c>
      <c r="K245" s="17">
        <v>56318.75</v>
      </c>
      <c r="L245" s="17">
        <v>51813.25</v>
      </c>
      <c r="M245" s="17">
        <v>369.68</v>
      </c>
      <c r="N245" s="17">
        <v>42882.3</v>
      </c>
      <c r="O245" s="17">
        <v>8930.9500000000007</v>
      </c>
      <c r="P245" s="18">
        <v>0.1724</v>
      </c>
      <c r="Q245" s="17">
        <v>1203.95</v>
      </c>
      <c r="R245" s="15" t="s">
        <v>40</v>
      </c>
    </row>
    <row r="246" spans="1:18" ht="14.25" customHeight="1" x14ac:dyDescent="0.3">
      <c r="A246" s="14">
        <v>45231</v>
      </c>
      <c r="B246" s="15">
        <v>2023</v>
      </c>
      <c r="C246" s="15" t="s">
        <v>48</v>
      </c>
      <c r="D246" s="15" t="s">
        <v>19</v>
      </c>
      <c r="E246" s="15" t="s">
        <v>31</v>
      </c>
      <c r="F246" s="15" t="s">
        <v>32</v>
      </c>
      <c r="G246" s="15" t="s">
        <v>33</v>
      </c>
      <c r="H246" s="16">
        <v>144</v>
      </c>
      <c r="I246" s="17">
        <v>696.1</v>
      </c>
      <c r="J246" s="18">
        <v>0.14499999999999999</v>
      </c>
      <c r="K246" s="17">
        <v>100238.69</v>
      </c>
      <c r="L246" s="17">
        <v>85704.08</v>
      </c>
      <c r="M246" s="17">
        <v>548.54999999999995</v>
      </c>
      <c r="N246" s="17">
        <v>78991.199999999997</v>
      </c>
      <c r="O246" s="17">
        <v>6712.88</v>
      </c>
      <c r="P246" s="18">
        <v>7.8299999999999995E-2</v>
      </c>
      <c r="Q246" s="17">
        <v>1014.48</v>
      </c>
      <c r="R246" s="15" t="s">
        <v>40</v>
      </c>
    </row>
    <row r="247" spans="1:18" ht="14.25" customHeight="1" x14ac:dyDescent="0.3">
      <c r="A247" s="14">
        <v>45231</v>
      </c>
      <c r="B247" s="15">
        <v>2023</v>
      </c>
      <c r="C247" s="15" t="s">
        <v>48</v>
      </c>
      <c r="D247" s="15" t="s">
        <v>24</v>
      </c>
      <c r="E247" s="15" t="s">
        <v>20</v>
      </c>
      <c r="F247" s="15" t="s">
        <v>21</v>
      </c>
      <c r="G247" s="15" t="s">
        <v>33</v>
      </c>
      <c r="H247" s="16">
        <v>137</v>
      </c>
      <c r="I247" s="17">
        <v>703.1</v>
      </c>
      <c r="J247" s="18">
        <v>0.11</v>
      </c>
      <c r="K247" s="17">
        <v>96324.43</v>
      </c>
      <c r="L247" s="17">
        <v>85728.74</v>
      </c>
      <c r="M247" s="17">
        <v>548.54999999999995</v>
      </c>
      <c r="N247" s="17">
        <v>75151.350000000006</v>
      </c>
      <c r="O247" s="17">
        <v>10577.39</v>
      </c>
      <c r="P247" s="18">
        <v>0.1234</v>
      </c>
      <c r="Q247" s="17">
        <v>1671.31</v>
      </c>
      <c r="R247" s="15" t="s">
        <v>40</v>
      </c>
    </row>
    <row r="248" spans="1:18" ht="14.25" customHeight="1" x14ac:dyDescent="0.3">
      <c r="A248" s="14">
        <v>45231</v>
      </c>
      <c r="B248" s="15">
        <v>2023</v>
      </c>
      <c r="C248" s="15" t="s">
        <v>48</v>
      </c>
      <c r="D248" s="15" t="s">
        <v>27</v>
      </c>
      <c r="E248" s="15" t="s">
        <v>25</v>
      </c>
      <c r="F248" s="15" t="s">
        <v>26</v>
      </c>
      <c r="G248" s="15" t="s">
        <v>33</v>
      </c>
      <c r="H248" s="16">
        <v>126</v>
      </c>
      <c r="I248" s="17">
        <v>710.09</v>
      </c>
      <c r="J248" s="18">
        <v>0.08</v>
      </c>
      <c r="K248" s="17">
        <v>89471.84</v>
      </c>
      <c r="L248" s="17">
        <v>82314.09</v>
      </c>
      <c r="M248" s="17">
        <v>548.54999999999995</v>
      </c>
      <c r="N248" s="17">
        <v>69117.3</v>
      </c>
      <c r="O248" s="17">
        <v>13196.79</v>
      </c>
      <c r="P248" s="18">
        <v>0.1603</v>
      </c>
      <c r="Q248" s="17">
        <v>1445.94</v>
      </c>
      <c r="R248" s="15" t="s">
        <v>40</v>
      </c>
    </row>
    <row r="249" spans="1:18" ht="14.25" customHeight="1" x14ac:dyDescent="0.3">
      <c r="A249" s="14">
        <v>45231</v>
      </c>
      <c r="B249" s="15">
        <v>2023</v>
      </c>
      <c r="C249" s="15" t="s">
        <v>48</v>
      </c>
      <c r="D249" s="15" t="s">
        <v>30</v>
      </c>
      <c r="E249" s="15" t="s">
        <v>28</v>
      </c>
      <c r="F249" s="15" t="s">
        <v>29</v>
      </c>
      <c r="G249" s="15" t="s">
        <v>33</v>
      </c>
      <c r="H249" s="16">
        <v>57</v>
      </c>
      <c r="I249" s="17">
        <v>689.11</v>
      </c>
      <c r="J249" s="18">
        <v>6.5000000000000002E-2</v>
      </c>
      <c r="K249" s="17">
        <v>39279.040000000001</v>
      </c>
      <c r="L249" s="17">
        <v>36725.910000000003</v>
      </c>
      <c r="M249" s="17">
        <v>548.54999999999995</v>
      </c>
      <c r="N249" s="17">
        <v>31267.35</v>
      </c>
      <c r="O249" s="17">
        <v>5458.56</v>
      </c>
      <c r="P249" s="18">
        <v>0.14860000000000001</v>
      </c>
      <c r="Q249" s="17">
        <v>1017.87</v>
      </c>
      <c r="R249" s="15" t="s">
        <v>40</v>
      </c>
    </row>
    <row r="250" spans="1:18" ht="14.25" customHeight="1" x14ac:dyDescent="0.3">
      <c r="A250" s="14">
        <v>45231</v>
      </c>
      <c r="B250" s="15">
        <v>2023</v>
      </c>
      <c r="C250" s="15" t="s">
        <v>48</v>
      </c>
      <c r="D250" s="15" t="s">
        <v>19</v>
      </c>
      <c r="E250" s="15" t="s">
        <v>20</v>
      </c>
      <c r="F250" s="15" t="s">
        <v>21</v>
      </c>
      <c r="G250" s="15" t="s">
        <v>34</v>
      </c>
      <c r="H250" s="16">
        <v>249</v>
      </c>
      <c r="I250" s="17">
        <v>221.49</v>
      </c>
      <c r="J250" s="18">
        <v>0.11</v>
      </c>
      <c r="K250" s="17">
        <v>55150.26</v>
      </c>
      <c r="L250" s="17">
        <v>49083.74</v>
      </c>
      <c r="M250" s="17">
        <v>151.05000000000001</v>
      </c>
      <c r="N250" s="17">
        <v>37611.449999999997</v>
      </c>
      <c r="O250" s="17">
        <v>11472.29</v>
      </c>
      <c r="P250" s="18">
        <v>0.23369999999999999</v>
      </c>
      <c r="Q250" s="17">
        <v>1084.1400000000001</v>
      </c>
      <c r="R250" s="15" t="s">
        <v>40</v>
      </c>
    </row>
    <row r="251" spans="1:18" ht="14.25" customHeight="1" x14ac:dyDescent="0.3">
      <c r="A251" s="14">
        <v>45231</v>
      </c>
      <c r="B251" s="15">
        <v>2023</v>
      </c>
      <c r="C251" s="15" t="s">
        <v>48</v>
      </c>
      <c r="D251" s="15" t="s">
        <v>24</v>
      </c>
      <c r="E251" s="15" t="s">
        <v>25</v>
      </c>
      <c r="F251" s="15" t="s">
        <v>26</v>
      </c>
      <c r="G251" s="15" t="s">
        <v>34</v>
      </c>
      <c r="H251" s="16">
        <v>225</v>
      </c>
      <c r="I251" s="17">
        <v>223.71</v>
      </c>
      <c r="J251" s="18">
        <v>0.08</v>
      </c>
      <c r="K251" s="17">
        <v>50335.43</v>
      </c>
      <c r="L251" s="17">
        <v>46308.59</v>
      </c>
      <c r="M251" s="17">
        <v>151.05000000000001</v>
      </c>
      <c r="N251" s="17">
        <v>33986.25</v>
      </c>
      <c r="O251" s="17">
        <v>12322.34</v>
      </c>
      <c r="P251" s="18">
        <v>0.2661</v>
      </c>
      <c r="Q251" s="17">
        <v>989.21</v>
      </c>
      <c r="R251" s="15" t="s">
        <v>40</v>
      </c>
    </row>
    <row r="252" spans="1:18" ht="14.25" customHeight="1" x14ac:dyDescent="0.3">
      <c r="A252" s="14">
        <v>45231</v>
      </c>
      <c r="B252" s="15">
        <v>2023</v>
      </c>
      <c r="C252" s="15" t="s">
        <v>48</v>
      </c>
      <c r="D252" s="15" t="s">
        <v>27</v>
      </c>
      <c r="E252" s="15" t="s">
        <v>31</v>
      </c>
      <c r="F252" s="15" t="s">
        <v>32</v>
      </c>
      <c r="G252" s="15" t="s">
        <v>34</v>
      </c>
      <c r="H252" s="16">
        <v>336</v>
      </c>
      <c r="I252" s="17">
        <v>225.94</v>
      </c>
      <c r="J252" s="18">
        <v>0.14499999999999999</v>
      </c>
      <c r="K252" s="17">
        <v>75915.5</v>
      </c>
      <c r="L252" s="17">
        <v>64907.76</v>
      </c>
      <c r="M252" s="17">
        <v>151.05000000000001</v>
      </c>
      <c r="N252" s="17">
        <v>50752.800000000003</v>
      </c>
      <c r="O252" s="17">
        <v>14154.96</v>
      </c>
      <c r="P252" s="18">
        <v>0.21809999999999999</v>
      </c>
      <c r="Q252" s="17">
        <v>763</v>
      </c>
      <c r="R252" s="15" t="s">
        <v>40</v>
      </c>
    </row>
    <row r="253" spans="1:18" ht="14.25" customHeight="1" x14ac:dyDescent="0.3">
      <c r="A253" s="14">
        <v>45231</v>
      </c>
      <c r="B253" s="15">
        <v>2023</v>
      </c>
      <c r="C253" s="15" t="s">
        <v>48</v>
      </c>
      <c r="D253" s="15" t="s">
        <v>30</v>
      </c>
      <c r="E253" s="15" t="s">
        <v>20</v>
      </c>
      <c r="F253" s="15" t="s">
        <v>26</v>
      </c>
      <c r="G253" s="15" t="s">
        <v>34</v>
      </c>
      <c r="H253" s="16">
        <v>194</v>
      </c>
      <c r="I253" s="17">
        <v>219.26</v>
      </c>
      <c r="J253" s="18">
        <v>0.11</v>
      </c>
      <c r="K253" s="17">
        <v>42536.63</v>
      </c>
      <c r="L253" s="17">
        <v>37857.61</v>
      </c>
      <c r="M253" s="17">
        <v>151.05000000000001</v>
      </c>
      <c r="N253" s="17">
        <v>29303.7</v>
      </c>
      <c r="O253" s="17">
        <v>8553.91</v>
      </c>
      <c r="P253" s="18">
        <v>0.22589999999999999</v>
      </c>
      <c r="Q253" s="17">
        <v>985.36</v>
      </c>
      <c r="R253" s="15" t="s">
        <v>40</v>
      </c>
    </row>
    <row r="254" spans="1:18" ht="14.25" customHeight="1" x14ac:dyDescent="0.3">
      <c r="A254" s="14">
        <v>45231</v>
      </c>
      <c r="B254" s="15">
        <v>2023</v>
      </c>
      <c r="C254" s="15" t="s">
        <v>48</v>
      </c>
      <c r="D254" s="15" t="s">
        <v>19</v>
      </c>
      <c r="E254" s="15" t="s">
        <v>25</v>
      </c>
      <c r="F254" s="15" t="s">
        <v>26</v>
      </c>
      <c r="G254" s="15" t="s">
        <v>35</v>
      </c>
      <c r="H254" s="16">
        <v>789</v>
      </c>
      <c r="I254" s="17">
        <v>11.07</v>
      </c>
      <c r="J254" s="18">
        <v>0.08</v>
      </c>
      <c r="K254" s="17">
        <v>8737.66</v>
      </c>
      <c r="L254" s="17">
        <v>8038.65</v>
      </c>
      <c r="M254" s="17">
        <v>5.57</v>
      </c>
      <c r="N254" s="17">
        <v>4390.78</v>
      </c>
      <c r="O254" s="17">
        <v>3647.87</v>
      </c>
      <c r="P254" s="18">
        <v>0.45379999999999998</v>
      </c>
      <c r="Q254" s="17">
        <v>452.29</v>
      </c>
      <c r="R254" s="15" t="s">
        <v>40</v>
      </c>
    </row>
    <row r="255" spans="1:18" ht="14.25" customHeight="1" x14ac:dyDescent="0.3">
      <c r="A255" s="14">
        <v>45231</v>
      </c>
      <c r="B255" s="15">
        <v>2023</v>
      </c>
      <c r="C255" s="15" t="s">
        <v>48</v>
      </c>
      <c r="D255" s="15" t="s">
        <v>24</v>
      </c>
      <c r="E255" s="15" t="s">
        <v>31</v>
      </c>
      <c r="F255" s="15" t="s">
        <v>32</v>
      </c>
      <c r="G255" s="15" t="s">
        <v>35</v>
      </c>
      <c r="H255" s="16">
        <v>1182</v>
      </c>
      <c r="I255" s="17">
        <v>11.19</v>
      </c>
      <c r="J255" s="18">
        <v>0.14499999999999999</v>
      </c>
      <c r="K255" s="17">
        <v>13221.44</v>
      </c>
      <c r="L255" s="17">
        <v>11304.33</v>
      </c>
      <c r="M255" s="17">
        <v>5.57</v>
      </c>
      <c r="N255" s="17">
        <v>6577.83</v>
      </c>
      <c r="O255" s="17">
        <v>4726.5</v>
      </c>
      <c r="P255" s="18">
        <v>0.41810000000000003</v>
      </c>
      <c r="Q255" s="17">
        <v>361.11</v>
      </c>
      <c r="R255" s="15" t="s">
        <v>40</v>
      </c>
    </row>
    <row r="256" spans="1:18" ht="14.25" customHeight="1" x14ac:dyDescent="0.3">
      <c r="A256" s="14">
        <v>45231</v>
      </c>
      <c r="B256" s="15">
        <v>2023</v>
      </c>
      <c r="C256" s="15" t="s">
        <v>48</v>
      </c>
      <c r="D256" s="15" t="s">
        <v>27</v>
      </c>
      <c r="E256" s="15" t="s">
        <v>20</v>
      </c>
      <c r="F256" s="15" t="s">
        <v>26</v>
      </c>
      <c r="G256" s="15" t="s">
        <v>35</v>
      </c>
      <c r="H256" s="16">
        <v>1149</v>
      </c>
      <c r="I256" s="17">
        <v>11.3</v>
      </c>
      <c r="J256" s="18">
        <v>0.11</v>
      </c>
      <c r="K256" s="17">
        <v>12980.2</v>
      </c>
      <c r="L256" s="17">
        <v>11552.38</v>
      </c>
      <c r="M256" s="17">
        <v>5.57</v>
      </c>
      <c r="N256" s="17">
        <v>6394.19</v>
      </c>
      <c r="O256" s="17">
        <v>5158.1899999999996</v>
      </c>
      <c r="P256" s="18">
        <v>0.44650000000000001</v>
      </c>
      <c r="Q256" s="17">
        <v>585.29</v>
      </c>
      <c r="R256" s="15" t="s">
        <v>40</v>
      </c>
    </row>
    <row r="257" spans="1:18" ht="14.25" customHeight="1" x14ac:dyDescent="0.3">
      <c r="A257" s="14">
        <v>45231</v>
      </c>
      <c r="B257" s="15">
        <v>2023</v>
      </c>
      <c r="C257" s="15" t="s">
        <v>48</v>
      </c>
      <c r="D257" s="15" t="s">
        <v>30</v>
      </c>
      <c r="E257" s="15" t="s">
        <v>25</v>
      </c>
      <c r="F257" s="15" t="s">
        <v>21</v>
      </c>
      <c r="G257" s="15" t="s">
        <v>35</v>
      </c>
      <c r="H257" s="16">
        <v>630</v>
      </c>
      <c r="I257" s="17">
        <v>10.96</v>
      </c>
      <c r="J257" s="18">
        <v>0.08</v>
      </c>
      <c r="K257" s="17">
        <v>6906.72</v>
      </c>
      <c r="L257" s="17">
        <v>6354.18</v>
      </c>
      <c r="M257" s="17">
        <v>5.57</v>
      </c>
      <c r="N257" s="17">
        <v>3505.95</v>
      </c>
      <c r="O257" s="17">
        <v>2848.23</v>
      </c>
      <c r="P257" s="18">
        <v>0.44819999999999999</v>
      </c>
      <c r="Q257" s="17">
        <v>388.07</v>
      </c>
      <c r="R257" s="15" t="s">
        <v>40</v>
      </c>
    </row>
    <row r="258" spans="1:18" ht="14.25" customHeight="1" x14ac:dyDescent="0.3">
      <c r="A258" s="14">
        <v>45231</v>
      </c>
      <c r="B258" s="15">
        <v>2023</v>
      </c>
      <c r="C258" s="15" t="s">
        <v>48</v>
      </c>
      <c r="D258" s="15" t="s">
        <v>19</v>
      </c>
      <c r="E258" s="15" t="s">
        <v>31</v>
      </c>
      <c r="F258" s="15" t="s">
        <v>32</v>
      </c>
      <c r="G258" s="15" t="s">
        <v>36</v>
      </c>
      <c r="H258" s="16">
        <v>353</v>
      </c>
      <c r="I258" s="17">
        <v>67.239999999999995</v>
      </c>
      <c r="J258" s="18">
        <v>0.13</v>
      </c>
      <c r="K258" s="17">
        <v>23736.11</v>
      </c>
      <c r="L258" s="17">
        <v>20650.41</v>
      </c>
      <c r="M258" s="17">
        <v>14.31</v>
      </c>
      <c r="N258" s="17">
        <v>5051.43</v>
      </c>
      <c r="O258" s="17">
        <v>15598.98</v>
      </c>
      <c r="P258" s="18">
        <v>0.75539999999999996</v>
      </c>
      <c r="Q258" s="17">
        <v>479.77</v>
      </c>
      <c r="R258" s="15" t="s">
        <v>40</v>
      </c>
    </row>
    <row r="259" spans="1:18" ht="14.25" customHeight="1" x14ac:dyDescent="0.3">
      <c r="A259" s="14">
        <v>45231</v>
      </c>
      <c r="B259" s="15">
        <v>2023</v>
      </c>
      <c r="C259" s="15" t="s">
        <v>48</v>
      </c>
      <c r="D259" s="15" t="s">
        <v>24</v>
      </c>
      <c r="E259" s="15" t="s">
        <v>20</v>
      </c>
      <c r="F259" s="15" t="s">
        <v>26</v>
      </c>
      <c r="G259" s="15" t="s">
        <v>36</v>
      </c>
      <c r="H259" s="16">
        <v>349</v>
      </c>
      <c r="I259" s="17">
        <v>67.91</v>
      </c>
      <c r="J259" s="18">
        <v>9.5000000000000001E-2</v>
      </c>
      <c r="K259" s="17">
        <v>23700.21</v>
      </c>
      <c r="L259" s="17">
        <v>21448.69</v>
      </c>
      <c r="M259" s="17">
        <v>14.31</v>
      </c>
      <c r="N259" s="17">
        <v>4994.1899999999996</v>
      </c>
      <c r="O259" s="17">
        <v>16454.5</v>
      </c>
      <c r="P259" s="18">
        <v>0.76719999999999999</v>
      </c>
      <c r="Q259" s="17">
        <v>845.05</v>
      </c>
      <c r="R259" s="15" t="s">
        <v>40</v>
      </c>
    </row>
    <row r="260" spans="1:18" ht="14.25" customHeight="1" x14ac:dyDescent="0.3">
      <c r="A260" s="14">
        <v>45231</v>
      </c>
      <c r="B260" s="15">
        <v>2023</v>
      </c>
      <c r="C260" s="15" t="s">
        <v>48</v>
      </c>
      <c r="D260" s="15" t="s">
        <v>27</v>
      </c>
      <c r="E260" s="15" t="s">
        <v>28</v>
      </c>
      <c r="F260" s="15" t="s">
        <v>29</v>
      </c>
      <c r="G260" s="15" t="s">
        <v>36</v>
      </c>
      <c r="H260" s="16">
        <v>205</v>
      </c>
      <c r="I260" s="17">
        <v>68.59</v>
      </c>
      <c r="J260" s="18">
        <v>0.05</v>
      </c>
      <c r="K260" s="17">
        <v>14061.48</v>
      </c>
      <c r="L260" s="17">
        <v>13358.41</v>
      </c>
      <c r="M260" s="17">
        <v>14.31</v>
      </c>
      <c r="N260" s="17">
        <v>2933.55</v>
      </c>
      <c r="O260" s="17">
        <v>10424.86</v>
      </c>
      <c r="P260" s="18">
        <v>0.78039999999999998</v>
      </c>
      <c r="Q260" s="17">
        <v>594.37</v>
      </c>
      <c r="R260" s="15" t="s">
        <v>40</v>
      </c>
    </row>
    <row r="261" spans="1:18" ht="14.25" customHeight="1" x14ac:dyDescent="0.3">
      <c r="A261" s="14">
        <v>45231</v>
      </c>
      <c r="B261" s="15">
        <v>2023</v>
      </c>
      <c r="C261" s="15" t="s">
        <v>48</v>
      </c>
      <c r="D261" s="15" t="s">
        <v>30</v>
      </c>
      <c r="E261" s="15" t="s">
        <v>31</v>
      </c>
      <c r="F261" s="15" t="s">
        <v>32</v>
      </c>
      <c r="G261" s="15" t="s">
        <v>36</v>
      </c>
      <c r="H261" s="16">
        <v>252</v>
      </c>
      <c r="I261" s="17">
        <v>66.56</v>
      </c>
      <c r="J261" s="18">
        <v>0.13</v>
      </c>
      <c r="K261" s="17">
        <v>16772.46</v>
      </c>
      <c r="L261" s="17">
        <v>14592.04</v>
      </c>
      <c r="M261" s="17">
        <v>14.31</v>
      </c>
      <c r="N261" s="17">
        <v>3606.12</v>
      </c>
      <c r="O261" s="17">
        <v>10985.92</v>
      </c>
      <c r="P261" s="18">
        <v>0.75290000000000001</v>
      </c>
      <c r="Q261" s="17">
        <v>427.66</v>
      </c>
      <c r="R261" s="15" t="s">
        <v>40</v>
      </c>
    </row>
    <row r="262" spans="1:18" ht="14.25" customHeight="1" x14ac:dyDescent="0.3">
      <c r="A262" s="14">
        <v>45231</v>
      </c>
      <c r="B262" s="15">
        <v>2023</v>
      </c>
      <c r="C262" s="15" t="s">
        <v>48</v>
      </c>
      <c r="D262" s="15" t="s">
        <v>19</v>
      </c>
      <c r="E262" s="15" t="s">
        <v>20</v>
      </c>
      <c r="F262" s="15" t="s">
        <v>26</v>
      </c>
      <c r="G262" s="15" t="s">
        <v>37</v>
      </c>
      <c r="H262" s="16">
        <v>285</v>
      </c>
      <c r="I262" s="17">
        <v>51.42</v>
      </c>
      <c r="J262" s="18">
        <v>9.5000000000000001E-2</v>
      </c>
      <c r="K262" s="17">
        <v>14654.87</v>
      </c>
      <c r="L262" s="17">
        <v>13262.66</v>
      </c>
      <c r="M262" s="17">
        <v>7.16</v>
      </c>
      <c r="N262" s="17">
        <v>2039.18</v>
      </c>
      <c r="O262" s="17">
        <v>11223.48</v>
      </c>
      <c r="P262" s="18">
        <v>0.84619999999999995</v>
      </c>
      <c r="Q262" s="17">
        <v>463.42</v>
      </c>
      <c r="R262" s="15" t="s">
        <v>40</v>
      </c>
    </row>
    <row r="263" spans="1:18" ht="14.25" customHeight="1" x14ac:dyDescent="0.3">
      <c r="A263" s="14">
        <v>45231</v>
      </c>
      <c r="B263" s="15">
        <v>2023</v>
      </c>
      <c r="C263" s="15" t="s">
        <v>48</v>
      </c>
      <c r="D263" s="15" t="s">
        <v>24</v>
      </c>
      <c r="E263" s="15" t="s">
        <v>25</v>
      </c>
      <c r="F263" s="15" t="s">
        <v>21</v>
      </c>
      <c r="G263" s="15" t="s">
        <v>37</v>
      </c>
      <c r="H263" s="16">
        <v>245</v>
      </c>
      <c r="I263" s="17">
        <v>51.93</v>
      </c>
      <c r="J263" s="18">
        <v>6.5000000000000002E-2</v>
      </c>
      <c r="K263" s="17">
        <v>12722.7</v>
      </c>
      <c r="L263" s="17">
        <v>11895.73</v>
      </c>
      <c r="M263" s="17">
        <v>7.16</v>
      </c>
      <c r="N263" s="17">
        <v>1752.98</v>
      </c>
      <c r="O263" s="17">
        <v>10142.75</v>
      </c>
      <c r="P263" s="18">
        <v>0.85260000000000002</v>
      </c>
      <c r="Q263" s="17">
        <v>438.96</v>
      </c>
      <c r="R263" s="15" t="s">
        <v>40</v>
      </c>
    </row>
    <row r="264" spans="1:18" ht="14.25" customHeight="1" x14ac:dyDescent="0.3">
      <c r="A264" s="14">
        <v>45231</v>
      </c>
      <c r="B264" s="15">
        <v>2023</v>
      </c>
      <c r="C264" s="15" t="s">
        <v>48</v>
      </c>
      <c r="D264" s="15" t="s">
        <v>27</v>
      </c>
      <c r="E264" s="15" t="s">
        <v>28</v>
      </c>
      <c r="F264" s="15" t="s">
        <v>32</v>
      </c>
      <c r="G264" s="15" t="s">
        <v>37</v>
      </c>
      <c r="H264" s="16">
        <v>187</v>
      </c>
      <c r="I264" s="17">
        <v>52.45</v>
      </c>
      <c r="J264" s="18">
        <v>0.05</v>
      </c>
      <c r="K264" s="17">
        <v>9807.43</v>
      </c>
      <c r="L264" s="17">
        <v>9317.06</v>
      </c>
      <c r="M264" s="17">
        <v>7.16</v>
      </c>
      <c r="N264" s="17">
        <v>1337.99</v>
      </c>
      <c r="O264" s="17">
        <v>7979.07</v>
      </c>
      <c r="P264" s="18">
        <v>0.85640000000000005</v>
      </c>
      <c r="Q264" s="17">
        <v>386.12</v>
      </c>
      <c r="R264" s="15" t="s">
        <v>40</v>
      </c>
    </row>
    <row r="265" spans="1:18" ht="14.25" customHeight="1" x14ac:dyDescent="0.3">
      <c r="A265" s="14">
        <v>45231</v>
      </c>
      <c r="B265" s="15">
        <v>2023</v>
      </c>
      <c r="C265" s="15" t="s">
        <v>48</v>
      </c>
      <c r="D265" s="15" t="s">
        <v>30</v>
      </c>
      <c r="E265" s="15" t="s">
        <v>20</v>
      </c>
      <c r="F265" s="15" t="s">
        <v>21</v>
      </c>
      <c r="G265" s="15" t="s">
        <v>37</v>
      </c>
      <c r="H265" s="16">
        <v>221</v>
      </c>
      <c r="I265" s="17">
        <v>50.9</v>
      </c>
      <c r="J265" s="18">
        <v>9.5000000000000001E-2</v>
      </c>
      <c r="K265" s="17">
        <v>11247.99</v>
      </c>
      <c r="L265" s="17">
        <v>10179.43</v>
      </c>
      <c r="M265" s="17">
        <v>7.16</v>
      </c>
      <c r="N265" s="17">
        <v>1581.26</v>
      </c>
      <c r="O265" s="17">
        <v>8598.18</v>
      </c>
      <c r="P265" s="18">
        <v>0.84470000000000001</v>
      </c>
      <c r="Q265" s="17">
        <v>402.83</v>
      </c>
      <c r="R265" s="15" t="s">
        <v>40</v>
      </c>
    </row>
    <row r="266" spans="1:18" ht="14.25" customHeight="1" x14ac:dyDescent="0.3">
      <c r="A266" s="14">
        <v>45261</v>
      </c>
      <c r="B266" s="15">
        <v>2023</v>
      </c>
      <c r="C266" s="15" t="s">
        <v>49</v>
      </c>
      <c r="D266" s="15" t="s">
        <v>19</v>
      </c>
      <c r="E266" s="15" t="s">
        <v>31</v>
      </c>
      <c r="F266" s="15" t="s">
        <v>32</v>
      </c>
      <c r="G266" s="15" t="s">
        <v>22</v>
      </c>
      <c r="H266" s="16">
        <v>186</v>
      </c>
      <c r="I266" s="17">
        <v>490.44</v>
      </c>
      <c r="J266" s="18">
        <v>0.14499999999999999</v>
      </c>
      <c r="K266" s="17">
        <v>91221</v>
      </c>
      <c r="L266" s="17">
        <v>77993.960000000006</v>
      </c>
      <c r="M266" s="17">
        <v>369.68</v>
      </c>
      <c r="N266" s="17">
        <v>68759.55</v>
      </c>
      <c r="O266" s="17">
        <v>9234.41</v>
      </c>
      <c r="P266" s="18">
        <v>0.11840000000000001</v>
      </c>
      <c r="Q266" s="17">
        <v>978.19</v>
      </c>
      <c r="R266" s="15" t="s">
        <v>40</v>
      </c>
    </row>
    <row r="267" spans="1:18" ht="14.25" customHeight="1" x14ac:dyDescent="0.3">
      <c r="A267" s="14">
        <v>45261</v>
      </c>
      <c r="B267" s="15">
        <v>2023</v>
      </c>
      <c r="C267" s="15" t="s">
        <v>49</v>
      </c>
      <c r="D267" s="15" t="s">
        <v>24</v>
      </c>
      <c r="E267" s="15" t="s">
        <v>20</v>
      </c>
      <c r="F267" s="15" t="s">
        <v>21</v>
      </c>
      <c r="G267" s="15" t="s">
        <v>22</v>
      </c>
      <c r="H267" s="16">
        <v>172</v>
      </c>
      <c r="I267" s="17">
        <v>495.36</v>
      </c>
      <c r="J267" s="18">
        <v>0.11</v>
      </c>
      <c r="K267" s="17">
        <v>85202.69</v>
      </c>
      <c r="L267" s="17">
        <v>75830.399999999994</v>
      </c>
      <c r="M267" s="17">
        <v>369.68</v>
      </c>
      <c r="N267" s="17">
        <v>63584.1</v>
      </c>
      <c r="O267" s="17">
        <v>12246.3</v>
      </c>
      <c r="P267" s="18">
        <v>0.1615</v>
      </c>
      <c r="Q267" s="17">
        <v>1732.86</v>
      </c>
      <c r="R267" s="15" t="s">
        <v>40</v>
      </c>
    </row>
    <row r="268" spans="1:18" ht="14.25" customHeight="1" x14ac:dyDescent="0.3">
      <c r="A268" s="14">
        <v>45261</v>
      </c>
      <c r="B268" s="15">
        <v>2023</v>
      </c>
      <c r="C268" s="15" t="s">
        <v>49</v>
      </c>
      <c r="D268" s="15" t="s">
        <v>27</v>
      </c>
      <c r="E268" s="15" t="s">
        <v>25</v>
      </c>
      <c r="F268" s="15" t="s">
        <v>26</v>
      </c>
      <c r="G268" s="15" t="s">
        <v>22</v>
      </c>
      <c r="H268" s="16">
        <v>162</v>
      </c>
      <c r="I268" s="17">
        <v>500.29</v>
      </c>
      <c r="J268" s="18">
        <v>0.08</v>
      </c>
      <c r="K268" s="17">
        <v>81047.55</v>
      </c>
      <c r="L268" s="17">
        <v>74563.740000000005</v>
      </c>
      <c r="M268" s="17">
        <v>369.68</v>
      </c>
      <c r="N268" s="17">
        <v>59887.35</v>
      </c>
      <c r="O268" s="17">
        <v>14676.39</v>
      </c>
      <c r="P268" s="18">
        <v>0.1968</v>
      </c>
      <c r="Q268" s="17">
        <v>1468.65</v>
      </c>
      <c r="R268" s="15" t="s">
        <v>40</v>
      </c>
    </row>
    <row r="269" spans="1:18" ht="14.25" customHeight="1" x14ac:dyDescent="0.3">
      <c r="A269" s="14">
        <v>45261</v>
      </c>
      <c r="B269" s="15">
        <v>2023</v>
      </c>
      <c r="C269" s="15" t="s">
        <v>49</v>
      </c>
      <c r="D269" s="15" t="s">
        <v>30</v>
      </c>
      <c r="E269" s="15" t="s">
        <v>28</v>
      </c>
      <c r="F269" s="15" t="s">
        <v>29</v>
      </c>
      <c r="G269" s="15" t="s">
        <v>22</v>
      </c>
      <c r="H269" s="16">
        <v>82</v>
      </c>
      <c r="I269" s="17">
        <v>485.51</v>
      </c>
      <c r="J269" s="18">
        <v>6.5000000000000002E-2</v>
      </c>
      <c r="K269" s="17">
        <v>39811.53</v>
      </c>
      <c r="L269" s="17">
        <v>37223.78</v>
      </c>
      <c r="M269" s="17">
        <v>369.68</v>
      </c>
      <c r="N269" s="17">
        <v>30313.35</v>
      </c>
      <c r="O269" s="17">
        <v>6910.43</v>
      </c>
      <c r="P269" s="18">
        <v>0.18559999999999999</v>
      </c>
      <c r="Q269" s="17">
        <v>1024.9100000000001</v>
      </c>
      <c r="R269" s="15" t="s">
        <v>40</v>
      </c>
    </row>
    <row r="270" spans="1:18" ht="14.25" customHeight="1" x14ac:dyDescent="0.3">
      <c r="A270" s="14">
        <v>45261</v>
      </c>
      <c r="B270" s="15">
        <v>2023</v>
      </c>
      <c r="C270" s="15" t="s">
        <v>49</v>
      </c>
      <c r="D270" s="15" t="s">
        <v>19</v>
      </c>
      <c r="E270" s="15" t="s">
        <v>20</v>
      </c>
      <c r="F270" s="15" t="s">
        <v>21</v>
      </c>
      <c r="G270" s="15" t="s">
        <v>33</v>
      </c>
      <c r="H270" s="16">
        <v>111</v>
      </c>
      <c r="I270" s="17">
        <v>696.1</v>
      </c>
      <c r="J270" s="18">
        <v>0.11</v>
      </c>
      <c r="K270" s="17">
        <v>77267.320000000007</v>
      </c>
      <c r="L270" s="17">
        <v>68767.91</v>
      </c>
      <c r="M270" s="17">
        <v>548.54999999999995</v>
      </c>
      <c r="N270" s="17">
        <v>60889.05</v>
      </c>
      <c r="O270" s="17">
        <v>7878.86</v>
      </c>
      <c r="P270" s="18">
        <v>0.11459999999999999</v>
      </c>
      <c r="Q270" s="17">
        <v>1596.62</v>
      </c>
      <c r="R270" s="15" t="s">
        <v>40</v>
      </c>
    </row>
    <row r="271" spans="1:18" ht="14.25" customHeight="1" x14ac:dyDescent="0.3">
      <c r="A271" s="14">
        <v>45261</v>
      </c>
      <c r="B271" s="15">
        <v>2023</v>
      </c>
      <c r="C271" s="15" t="s">
        <v>49</v>
      </c>
      <c r="D271" s="15" t="s">
        <v>24</v>
      </c>
      <c r="E271" s="15" t="s">
        <v>25</v>
      </c>
      <c r="F271" s="15" t="s">
        <v>26</v>
      </c>
      <c r="G271" s="15" t="s">
        <v>33</v>
      </c>
      <c r="H271" s="16">
        <v>107</v>
      </c>
      <c r="I271" s="17">
        <v>703.1</v>
      </c>
      <c r="J271" s="18">
        <v>0.08</v>
      </c>
      <c r="K271" s="17">
        <v>75231.490000000005</v>
      </c>
      <c r="L271" s="17">
        <v>69212.97</v>
      </c>
      <c r="M271" s="17">
        <v>548.54999999999995</v>
      </c>
      <c r="N271" s="17">
        <v>58694.85</v>
      </c>
      <c r="O271" s="17">
        <v>10518.12</v>
      </c>
      <c r="P271" s="18">
        <v>0.152</v>
      </c>
      <c r="Q271" s="17">
        <v>1404.21</v>
      </c>
      <c r="R271" s="15" t="s">
        <v>40</v>
      </c>
    </row>
    <row r="272" spans="1:18" ht="14.25" customHeight="1" x14ac:dyDescent="0.3">
      <c r="A272" s="14">
        <v>45261</v>
      </c>
      <c r="B272" s="15">
        <v>2023</v>
      </c>
      <c r="C272" s="15" t="s">
        <v>49</v>
      </c>
      <c r="D272" s="15" t="s">
        <v>27</v>
      </c>
      <c r="E272" s="15" t="s">
        <v>28</v>
      </c>
      <c r="F272" s="15" t="s">
        <v>29</v>
      </c>
      <c r="G272" s="15" t="s">
        <v>33</v>
      </c>
      <c r="H272" s="16">
        <v>89</v>
      </c>
      <c r="I272" s="17">
        <v>710.09</v>
      </c>
      <c r="J272" s="18">
        <v>6.5000000000000002E-2</v>
      </c>
      <c r="K272" s="17">
        <v>63198.37</v>
      </c>
      <c r="L272" s="17">
        <v>59090.47</v>
      </c>
      <c r="M272" s="17">
        <v>548.54999999999995</v>
      </c>
      <c r="N272" s="17">
        <v>48820.95</v>
      </c>
      <c r="O272" s="17">
        <v>10269.52</v>
      </c>
      <c r="P272" s="18">
        <v>0.17380000000000001</v>
      </c>
      <c r="Q272" s="17">
        <v>1324.65</v>
      </c>
      <c r="R272" s="15" t="s">
        <v>40</v>
      </c>
    </row>
    <row r="273" spans="1:18" ht="14.25" customHeight="1" x14ac:dyDescent="0.3">
      <c r="A273" s="14">
        <v>45261</v>
      </c>
      <c r="B273" s="15">
        <v>2023</v>
      </c>
      <c r="C273" s="15" t="s">
        <v>49</v>
      </c>
      <c r="D273" s="15" t="s">
        <v>30</v>
      </c>
      <c r="E273" s="15" t="s">
        <v>31</v>
      </c>
      <c r="F273" s="15" t="s">
        <v>32</v>
      </c>
      <c r="G273" s="15" t="s">
        <v>33</v>
      </c>
      <c r="H273" s="16">
        <v>103</v>
      </c>
      <c r="I273" s="17">
        <v>689.11</v>
      </c>
      <c r="J273" s="18">
        <v>0.14499999999999999</v>
      </c>
      <c r="K273" s="17">
        <v>70977.919999999998</v>
      </c>
      <c r="L273" s="17">
        <v>60686.12</v>
      </c>
      <c r="M273" s="17">
        <v>548.54999999999995</v>
      </c>
      <c r="N273" s="17">
        <v>56500.65</v>
      </c>
      <c r="O273" s="17">
        <v>4185.47</v>
      </c>
      <c r="P273" s="18">
        <v>6.9000000000000006E-2</v>
      </c>
      <c r="Q273" s="17">
        <v>851.83</v>
      </c>
      <c r="R273" s="15" t="s">
        <v>40</v>
      </c>
    </row>
    <row r="274" spans="1:18" ht="14.25" customHeight="1" x14ac:dyDescent="0.3">
      <c r="A274" s="14">
        <v>45261</v>
      </c>
      <c r="B274" s="15">
        <v>2023</v>
      </c>
      <c r="C274" s="15" t="s">
        <v>49</v>
      </c>
      <c r="D274" s="15" t="s">
        <v>19</v>
      </c>
      <c r="E274" s="15" t="s">
        <v>25</v>
      </c>
      <c r="F274" s="15" t="s">
        <v>26</v>
      </c>
      <c r="G274" s="15" t="s">
        <v>34</v>
      </c>
      <c r="H274" s="16">
        <v>180</v>
      </c>
      <c r="I274" s="17">
        <v>221.49</v>
      </c>
      <c r="J274" s="18">
        <v>0.08</v>
      </c>
      <c r="K274" s="17">
        <v>39867.660000000003</v>
      </c>
      <c r="L274" s="17">
        <v>36678.25</v>
      </c>
      <c r="M274" s="17">
        <v>151.05000000000001</v>
      </c>
      <c r="N274" s="17">
        <v>27189</v>
      </c>
      <c r="O274" s="17">
        <v>9489.25</v>
      </c>
      <c r="P274" s="18">
        <v>0.25869999999999999</v>
      </c>
      <c r="Q274" s="17">
        <v>957.46</v>
      </c>
      <c r="R274" s="15" t="s">
        <v>40</v>
      </c>
    </row>
    <row r="275" spans="1:18" ht="14.25" customHeight="1" x14ac:dyDescent="0.3">
      <c r="A275" s="14">
        <v>45261</v>
      </c>
      <c r="B275" s="15">
        <v>2023</v>
      </c>
      <c r="C275" s="15" t="s">
        <v>49</v>
      </c>
      <c r="D275" s="15" t="s">
        <v>24</v>
      </c>
      <c r="E275" s="15" t="s">
        <v>31</v>
      </c>
      <c r="F275" s="15" t="s">
        <v>32</v>
      </c>
      <c r="G275" s="15" t="s">
        <v>34</v>
      </c>
      <c r="H275" s="16">
        <v>311</v>
      </c>
      <c r="I275" s="17">
        <v>223.71</v>
      </c>
      <c r="J275" s="18">
        <v>0.14499999999999999</v>
      </c>
      <c r="K275" s="17">
        <v>69574.740000000005</v>
      </c>
      <c r="L275" s="17">
        <v>59486.41</v>
      </c>
      <c r="M275" s="17">
        <v>151.05000000000001</v>
      </c>
      <c r="N275" s="17">
        <v>46976.55</v>
      </c>
      <c r="O275" s="17">
        <v>12509.86</v>
      </c>
      <c r="P275" s="18">
        <v>0.21029999999999999</v>
      </c>
      <c r="Q275" s="17">
        <v>758.37</v>
      </c>
      <c r="R275" s="15" t="s">
        <v>40</v>
      </c>
    </row>
    <row r="276" spans="1:18" ht="14.25" customHeight="1" x14ac:dyDescent="0.3">
      <c r="A276" s="14">
        <v>45261</v>
      </c>
      <c r="B276" s="15">
        <v>2023</v>
      </c>
      <c r="C276" s="15" t="s">
        <v>49</v>
      </c>
      <c r="D276" s="15" t="s">
        <v>27</v>
      </c>
      <c r="E276" s="15" t="s">
        <v>20</v>
      </c>
      <c r="F276" s="15" t="s">
        <v>26</v>
      </c>
      <c r="G276" s="15" t="s">
        <v>34</v>
      </c>
      <c r="H276" s="16">
        <v>275</v>
      </c>
      <c r="I276" s="17">
        <v>225.94</v>
      </c>
      <c r="J276" s="18">
        <v>0.11</v>
      </c>
      <c r="K276" s="17">
        <v>62133.23</v>
      </c>
      <c r="L276" s="17">
        <v>55298.57</v>
      </c>
      <c r="M276" s="17">
        <v>151.05000000000001</v>
      </c>
      <c r="N276" s="17">
        <v>41538.75</v>
      </c>
      <c r="O276" s="17">
        <v>13759.82</v>
      </c>
      <c r="P276" s="18">
        <v>0.24879999999999999</v>
      </c>
      <c r="Q276" s="17">
        <v>1205.3599999999999</v>
      </c>
      <c r="R276" s="15" t="s">
        <v>40</v>
      </c>
    </row>
    <row r="277" spans="1:18" ht="14.25" customHeight="1" x14ac:dyDescent="0.3">
      <c r="A277" s="14">
        <v>45261</v>
      </c>
      <c r="B277" s="15">
        <v>2023</v>
      </c>
      <c r="C277" s="15" t="s">
        <v>49</v>
      </c>
      <c r="D277" s="15" t="s">
        <v>30</v>
      </c>
      <c r="E277" s="15" t="s">
        <v>25</v>
      </c>
      <c r="F277" s="15" t="s">
        <v>21</v>
      </c>
      <c r="G277" s="15" t="s">
        <v>34</v>
      </c>
      <c r="H277" s="16">
        <v>147</v>
      </c>
      <c r="I277" s="17">
        <v>219.26</v>
      </c>
      <c r="J277" s="18">
        <v>0.08</v>
      </c>
      <c r="K277" s="17">
        <v>32231.37</v>
      </c>
      <c r="L277" s="17">
        <v>29652.86</v>
      </c>
      <c r="M277" s="17">
        <v>151.05000000000001</v>
      </c>
      <c r="N277" s="17">
        <v>22204.35</v>
      </c>
      <c r="O277" s="17">
        <v>7448.51</v>
      </c>
      <c r="P277" s="18">
        <v>0.25119999999999998</v>
      </c>
      <c r="Q277" s="17">
        <v>839.23</v>
      </c>
      <c r="R277" s="15" t="s">
        <v>40</v>
      </c>
    </row>
    <row r="278" spans="1:18" ht="14.25" customHeight="1" x14ac:dyDescent="0.3">
      <c r="A278" s="14">
        <v>45261</v>
      </c>
      <c r="B278" s="15">
        <v>2023</v>
      </c>
      <c r="C278" s="15" t="s">
        <v>49</v>
      </c>
      <c r="D278" s="15" t="s">
        <v>19</v>
      </c>
      <c r="E278" s="15" t="s">
        <v>31</v>
      </c>
      <c r="F278" s="15" t="s">
        <v>32</v>
      </c>
      <c r="G278" s="15" t="s">
        <v>35</v>
      </c>
      <c r="H278" s="16">
        <v>979</v>
      </c>
      <c r="I278" s="17">
        <v>11.07</v>
      </c>
      <c r="J278" s="18">
        <v>0.14499999999999999</v>
      </c>
      <c r="K278" s="17">
        <v>10841.79</v>
      </c>
      <c r="L278" s="17">
        <v>9269.73</v>
      </c>
      <c r="M278" s="17">
        <v>5.57</v>
      </c>
      <c r="N278" s="17">
        <v>5448.14</v>
      </c>
      <c r="O278" s="17">
        <v>3821.6</v>
      </c>
      <c r="P278" s="18">
        <v>0.4123</v>
      </c>
      <c r="Q278" s="17">
        <v>342.7</v>
      </c>
      <c r="R278" s="15" t="s">
        <v>40</v>
      </c>
    </row>
    <row r="279" spans="1:18" ht="14.25" customHeight="1" x14ac:dyDescent="0.3">
      <c r="A279" s="14">
        <v>45261</v>
      </c>
      <c r="B279" s="15">
        <v>2023</v>
      </c>
      <c r="C279" s="15" t="s">
        <v>49</v>
      </c>
      <c r="D279" s="15" t="s">
        <v>24</v>
      </c>
      <c r="E279" s="15" t="s">
        <v>20</v>
      </c>
      <c r="F279" s="15" t="s">
        <v>26</v>
      </c>
      <c r="G279" s="15" t="s">
        <v>35</v>
      </c>
      <c r="H279" s="16">
        <v>979</v>
      </c>
      <c r="I279" s="17">
        <v>11.19</v>
      </c>
      <c r="J279" s="18">
        <v>0.11</v>
      </c>
      <c r="K279" s="17">
        <v>10950.75</v>
      </c>
      <c r="L279" s="17">
        <v>9746.17</v>
      </c>
      <c r="M279" s="17">
        <v>5.57</v>
      </c>
      <c r="N279" s="17">
        <v>5448.14</v>
      </c>
      <c r="O279" s="17">
        <v>4298.03</v>
      </c>
      <c r="P279" s="18">
        <v>0.441</v>
      </c>
      <c r="Q279" s="17">
        <v>574.47</v>
      </c>
      <c r="R279" s="15" t="s">
        <v>40</v>
      </c>
    </row>
    <row r="280" spans="1:18" ht="14.25" customHeight="1" x14ac:dyDescent="0.3">
      <c r="A280" s="14">
        <v>45261</v>
      </c>
      <c r="B280" s="15">
        <v>2023</v>
      </c>
      <c r="C280" s="15" t="s">
        <v>49</v>
      </c>
      <c r="D280" s="15" t="s">
        <v>27</v>
      </c>
      <c r="E280" s="15" t="s">
        <v>25</v>
      </c>
      <c r="F280" s="15" t="s">
        <v>21</v>
      </c>
      <c r="G280" s="15" t="s">
        <v>35</v>
      </c>
      <c r="H280" s="16">
        <v>799</v>
      </c>
      <c r="I280" s="17">
        <v>11.3</v>
      </c>
      <c r="J280" s="18">
        <v>0.08</v>
      </c>
      <c r="K280" s="17">
        <v>9026.26</v>
      </c>
      <c r="L280" s="17">
        <v>8304.16</v>
      </c>
      <c r="M280" s="17">
        <v>5.57</v>
      </c>
      <c r="N280" s="17">
        <v>4446.4399999999996</v>
      </c>
      <c r="O280" s="17">
        <v>3857.73</v>
      </c>
      <c r="P280" s="18">
        <v>0.46460000000000001</v>
      </c>
      <c r="Q280" s="17">
        <v>520.24</v>
      </c>
      <c r="R280" s="15" t="s">
        <v>40</v>
      </c>
    </row>
    <row r="281" spans="1:18" ht="14.25" customHeight="1" x14ac:dyDescent="0.3">
      <c r="A281" s="14">
        <v>45261</v>
      </c>
      <c r="B281" s="15">
        <v>2023</v>
      </c>
      <c r="C281" s="15" t="s">
        <v>49</v>
      </c>
      <c r="D281" s="15" t="s">
        <v>30</v>
      </c>
      <c r="E281" s="15" t="s">
        <v>31</v>
      </c>
      <c r="F281" s="15" t="s">
        <v>32</v>
      </c>
      <c r="G281" s="15" t="s">
        <v>35</v>
      </c>
      <c r="H281" s="16">
        <v>830</v>
      </c>
      <c r="I281" s="17">
        <v>10.96</v>
      </c>
      <c r="J281" s="18">
        <v>0.14499999999999999</v>
      </c>
      <c r="K281" s="17">
        <v>9099.33</v>
      </c>
      <c r="L281" s="17">
        <v>7779.93</v>
      </c>
      <c r="M281" s="17">
        <v>5.57</v>
      </c>
      <c r="N281" s="17">
        <v>4618.95</v>
      </c>
      <c r="O281" s="17">
        <v>3160.98</v>
      </c>
      <c r="P281" s="18">
        <v>0.40629999999999999</v>
      </c>
      <c r="Q281" s="17">
        <v>291.52999999999997</v>
      </c>
      <c r="R281" s="15" t="s">
        <v>40</v>
      </c>
    </row>
    <row r="282" spans="1:18" ht="14.25" customHeight="1" x14ac:dyDescent="0.3">
      <c r="A282" s="14">
        <v>45261</v>
      </c>
      <c r="B282" s="15">
        <v>2023</v>
      </c>
      <c r="C282" s="15" t="s">
        <v>49</v>
      </c>
      <c r="D282" s="15" t="s">
        <v>19</v>
      </c>
      <c r="E282" s="15" t="s">
        <v>20</v>
      </c>
      <c r="F282" s="15" t="s">
        <v>26</v>
      </c>
      <c r="G282" s="15" t="s">
        <v>36</v>
      </c>
      <c r="H282" s="16">
        <v>293</v>
      </c>
      <c r="I282" s="17">
        <v>67.239999999999995</v>
      </c>
      <c r="J282" s="18">
        <v>9.5000000000000001E-2</v>
      </c>
      <c r="K282" s="17">
        <v>19701.64</v>
      </c>
      <c r="L282" s="17">
        <v>17829.990000000002</v>
      </c>
      <c r="M282" s="17">
        <v>14.31</v>
      </c>
      <c r="N282" s="17">
        <v>4192.83</v>
      </c>
      <c r="O282" s="17">
        <v>13637.16</v>
      </c>
      <c r="P282" s="18">
        <v>0.76480000000000004</v>
      </c>
      <c r="Q282" s="17">
        <v>754.31</v>
      </c>
      <c r="R282" s="15" t="s">
        <v>40</v>
      </c>
    </row>
    <row r="283" spans="1:18" ht="14.25" customHeight="1" x14ac:dyDescent="0.3">
      <c r="A283" s="14">
        <v>45261</v>
      </c>
      <c r="B283" s="15">
        <v>2023</v>
      </c>
      <c r="C283" s="15" t="s">
        <v>49</v>
      </c>
      <c r="D283" s="15" t="s">
        <v>24</v>
      </c>
      <c r="E283" s="15" t="s">
        <v>28</v>
      </c>
      <c r="F283" s="15" t="s">
        <v>29</v>
      </c>
      <c r="G283" s="15" t="s">
        <v>36</v>
      </c>
      <c r="H283" s="16">
        <v>200</v>
      </c>
      <c r="I283" s="17">
        <v>67.91</v>
      </c>
      <c r="J283" s="18">
        <v>0.05</v>
      </c>
      <c r="K283" s="17">
        <v>13581.78</v>
      </c>
      <c r="L283" s="17">
        <v>12902.69</v>
      </c>
      <c r="M283" s="17">
        <v>14.31</v>
      </c>
      <c r="N283" s="17">
        <v>2862</v>
      </c>
      <c r="O283" s="17">
        <v>10040.69</v>
      </c>
      <c r="P283" s="18">
        <v>0.7782</v>
      </c>
      <c r="Q283" s="17">
        <v>585.44000000000005</v>
      </c>
      <c r="R283" s="15" t="s">
        <v>40</v>
      </c>
    </row>
    <row r="284" spans="1:18" ht="14.25" customHeight="1" x14ac:dyDescent="0.3">
      <c r="A284" s="14">
        <v>45261</v>
      </c>
      <c r="B284" s="15">
        <v>2023</v>
      </c>
      <c r="C284" s="15" t="s">
        <v>49</v>
      </c>
      <c r="D284" s="15" t="s">
        <v>27</v>
      </c>
      <c r="E284" s="15" t="s">
        <v>31</v>
      </c>
      <c r="F284" s="15" t="s">
        <v>32</v>
      </c>
      <c r="G284" s="15" t="s">
        <v>36</v>
      </c>
      <c r="H284" s="16">
        <v>437</v>
      </c>
      <c r="I284" s="17">
        <v>68.59</v>
      </c>
      <c r="J284" s="18">
        <v>0.13</v>
      </c>
      <c r="K284" s="17">
        <v>29974.97</v>
      </c>
      <c r="L284" s="17">
        <v>26078.22</v>
      </c>
      <c r="M284" s="17">
        <v>14.31</v>
      </c>
      <c r="N284" s="17">
        <v>6253.47</v>
      </c>
      <c r="O284" s="17">
        <v>19824.75</v>
      </c>
      <c r="P284" s="18">
        <v>0.76019999999999999</v>
      </c>
      <c r="Q284" s="17">
        <v>556.58000000000004</v>
      </c>
      <c r="R284" s="15" t="s">
        <v>40</v>
      </c>
    </row>
    <row r="285" spans="1:18" ht="14.25" customHeight="1" x14ac:dyDescent="0.3">
      <c r="A285" s="14">
        <v>45261</v>
      </c>
      <c r="B285" s="15">
        <v>2023</v>
      </c>
      <c r="C285" s="15" t="s">
        <v>49</v>
      </c>
      <c r="D285" s="15" t="s">
        <v>30</v>
      </c>
      <c r="E285" s="15" t="s">
        <v>20</v>
      </c>
      <c r="F285" s="15" t="s">
        <v>21</v>
      </c>
      <c r="G285" s="15" t="s">
        <v>36</v>
      </c>
      <c r="H285" s="16">
        <v>220</v>
      </c>
      <c r="I285" s="17">
        <v>66.56</v>
      </c>
      <c r="J285" s="18">
        <v>9.5000000000000001E-2</v>
      </c>
      <c r="K285" s="17">
        <v>14642.63</v>
      </c>
      <c r="L285" s="17">
        <v>13251.58</v>
      </c>
      <c r="M285" s="17">
        <v>14.31</v>
      </c>
      <c r="N285" s="17">
        <v>3148.2</v>
      </c>
      <c r="O285" s="17">
        <v>10103.379999999999</v>
      </c>
      <c r="P285" s="18">
        <v>0.76239999999999997</v>
      </c>
      <c r="Q285" s="17">
        <v>695.47</v>
      </c>
      <c r="R285" s="15" t="s">
        <v>40</v>
      </c>
    </row>
    <row r="286" spans="1:18" ht="14.25" customHeight="1" x14ac:dyDescent="0.3">
      <c r="A286" s="14">
        <v>45261</v>
      </c>
      <c r="B286" s="15">
        <v>2023</v>
      </c>
      <c r="C286" s="15" t="s">
        <v>49</v>
      </c>
      <c r="D286" s="15" t="s">
        <v>19</v>
      </c>
      <c r="E286" s="15" t="s">
        <v>25</v>
      </c>
      <c r="F286" s="15" t="s">
        <v>21</v>
      </c>
      <c r="G286" s="15" t="s">
        <v>37</v>
      </c>
      <c r="H286" s="16">
        <v>213</v>
      </c>
      <c r="I286" s="17">
        <v>51.42</v>
      </c>
      <c r="J286" s="18">
        <v>6.5000000000000002E-2</v>
      </c>
      <c r="K286" s="17">
        <v>10952.59</v>
      </c>
      <c r="L286" s="17">
        <v>10240.67</v>
      </c>
      <c r="M286" s="17">
        <v>7.16</v>
      </c>
      <c r="N286" s="17">
        <v>1524.02</v>
      </c>
      <c r="O286" s="17">
        <v>8716.66</v>
      </c>
      <c r="P286" s="18">
        <v>0.85119999999999996</v>
      </c>
      <c r="Q286" s="17">
        <v>407.95</v>
      </c>
      <c r="R286" s="15" t="s">
        <v>40</v>
      </c>
    </row>
    <row r="287" spans="1:18" ht="14.25" customHeight="1" x14ac:dyDescent="0.3">
      <c r="A287" s="14">
        <v>45261</v>
      </c>
      <c r="B287" s="15">
        <v>2023</v>
      </c>
      <c r="C287" s="15" t="s">
        <v>49</v>
      </c>
      <c r="D287" s="15" t="s">
        <v>24</v>
      </c>
      <c r="E287" s="15" t="s">
        <v>28</v>
      </c>
      <c r="F287" s="15" t="s">
        <v>32</v>
      </c>
      <c r="G287" s="15" t="s">
        <v>37</v>
      </c>
      <c r="H287" s="16">
        <v>177</v>
      </c>
      <c r="I287" s="17">
        <v>51.93</v>
      </c>
      <c r="J287" s="18">
        <v>0.05</v>
      </c>
      <c r="K287" s="17">
        <v>9191.5</v>
      </c>
      <c r="L287" s="17">
        <v>8731.93</v>
      </c>
      <c r="M287" s="17">
        <v>7.16</v>
      </c>
      <c r="N287" s="17">
        <v>1266.44</v>
      </c>
      <c r="O287" s="17">
        <v>7465.5</v>
      </c>
      <c r="P287" s="18">
        <v>0.85499999999999998</v>
      </c>
      <c r="Q287" s="17">
        <v>363.02</v>
      </c>
      <c r="R287" s="15" t="s">
        <v>40</v>
      </c>
    </row>
    <row r="288" spans="1:18" ht="14.25" customHeight="1" x14ac:dyDescent="0.3">
      <c r="A288" s="14">
        <v>45261</v>
      </c>
      <c r="B288" s="15">
        <v>2023</v>
      </c>
      <c r="C288" s="15" t="s">
        <v>49</v>
      </c>
      <c r="D288" s="15" t="s">
        <v>27</v>
      </c>
      <c r="E288" s="15" t="s">
        <v>20</v>
      </c>
      <c r="F288" s="15" t="s">
        <v>21</v>
      </c>
      <c r="G288" s="15" t="s">
        <v>37</v>
      </c>
      <c r="H288" s="16">
        <v>312</v>
      </c>
      <c r="I288" s="17">
        <v>52.45</v>
      </c>
      <c r="J288" s="18">
        <v>9.5000000000000001E-2</v>
      </c>
      <c r="K288" s="17">
        <v>16363.2</v>
      </c>
      <c r="L288" s="17">
        <v>14808.7</v>
      </c>
      <c r="M288" s="17">
        <v>7.16</v>
      </c>
      <c r="N288" s="17">
        <v>2232.36</v>
      </c>
      <c r="O288" s="17">
        <v>12576.34</v>
      </c>
      <c r="P288" s="18">
        <v>0.84930000000000005</v>
      </c>
      <c r="Q288" s="17">
        <v>544.9</v>
      </c>
      <c r="R288" s="15" t="s">
        <v>40</v>
      </c>
    </row>
    <row r="289" spans="1:18" ht="14.25" customHeight="1" x14ac:dyDescent="0.3">
      <c r="A289" s="14">
        <v>45261</v>
      </c>
      <c r="B289" s="15">
        <v>2023</v>
      </c>
      <c r="C289" s="15" t="s">
        <v>49</v>
      </c>
      <c r="D289" s="15" t="s">
        <v>30</v>
      </c>
      <c r="E289" s="15" t="s">
        <v>25</v>
      </c>
      <c r="F289" s="15" t="s">
        <v>26</v>
      </c>
      <c r="G289" s="15" t="s">
        <v>37</v>
      </c>
      <c r="H289" s="16">
        <v>159</v>
      </c>
      <c r="I289" s="17">
        <v>50.9</v>
      </c>
      <c r="J289" s="18">
        <v>6.5000000000000002E-2</v>
      </c>
      <c r="K289" s="17">
        <v>8092.45</v>
      </c>
      <c r="L289" s="17">
        <v>7566.44</v>
      </c>
      <c r="M289" s="17">
        <v>7.16</v>
      </c>
      <c r="N289" s="17">
        <v>1137.6400000000001</v>
      </c>
      <c r="O289" s="17">
        <v>6428.79</v>
      </c>
      <c r="P289" s="18">
        <v>0.84960000000000002</v>
      </c>
      <c r="Q289" s="17">
        <v>358.43</v>
      </c>
      <c r="R289" s="15" t="s">
        <v>40</v>
      </c>
    </row>
    <row r="290" spans="1:18" ht="14.25" customHeight="1" x14ac:dyDescent="0.3">
      <c r="A290" s="14">
        <v>45292</v>
      </c>
      <c r="B290" s="15">
        <v>2024</v>
      </c>
      <c r="C290" s="15" t="s">
        <v>18</v>
      </c>
      <c r="D290" s="15" t="s">
        <v>19</v>
      </c>
      <c r="E290" s="15" t="s">
        <v>20</v>
      </c>
      <c r="F290" s="15" t="s">
        <v>21</v>
      </c>
      <c r="G290" s="15" t="s">
        <v>22</v>
      </c>
      <c r="H290" s="16">
        <v>133</v>
      </c>
      <c r="I290" s="17">
        <v>502.69</v>
      </c>
      <c r="J290" s="18">
        <v>8.5000000000000006E-2</v>
      </c>
      <c r="K290" s="17">
        <v>66858.36</v>
      </c>
      <c r="L290" s="17">
        <v>61175.39</v>
      </c>
      <c r="M290" s="17">
        <v>386.31</v>
      </c>
      <c r="N290" s="17">
        <v>51378.75</v>
      </c>
      <c r="O290" s="17">
        <v>9796.64</v>
      </c>
      <c r="P290" s="18">
        <v>0.16009999999999999</v>
      </c>
      <c r="Q290" s="17">
        <v>1161.05</v>
      </c>
      <c r="R290" s="15" t="s">
        <v>23</v>
      </c>
    </row>
    <row r="291" spans="1:18" ht="14.25" customHeight="1" x14ac:dyDescent="0.3">
      <c r="A291" s="14">
        <v>45292</v>
      </c>
      <c r="B291" s="15">
        <v>2024</v>
      </c>
      <c r="C291" s="15" t="s">
        <v>18</v>
      </c>
      <c r="D291" s="15" t="s">
        <v>24</v>
      </c>
      <c r="E291" s="15" t="s">
        <v>25</v>
      </c>
      <c r="F291" s="15" t="s">
        <v>26</v>
      </c>
      <c r="G291" s="15" t="s">
        <v>22</v>
      </c>
      <c r="H291" s="16">
        <v>118</v>
      </c>
      <c r="I291" s="17">
        <v>507.75</v>
      </c>
      <c r="J291" s="18">
        <v>5.5E-2</v>
      </c>
      <c r="K291" s="17">
        <v>59914.57</v>
      </c>
      <c r="L291" s="17">
        <v>56619.27</v>
      </c>
      <c r="M291" s="17">
        <v>386.31</v>
      </c>
      <c r="N291" s="17">
        <v>45584.160000000003</v>
      </c>
      <c r="O291" s="17">
        <v>11035.12</v>
      </c>
      <c r="P291" s="18">
        <v>0.19489999999999999</v>
      </c>
      <c r="Q291" s="17">
        <v>1083.73</v>
      </c>
      <c r="R291" s="15" t="s">
        <v>23</v>
      </c>
    </row>
    <row r="292" spans="1:18" ht="14.25" customHeight="1" x14ac:dyDescent="0.3">
      <c r="A292" s="14">
        <v>45292</v>
      </c>
      <c r="B292" s="15">
        <v>2024</v>
      </c>
      <c r="C292" s="15" t="s">
        <v>18</v>
      </c>
      <c r="D292" s="15" t="s">
        <v>27</v>
      </c>
      <c r="E292" s="15" t="s">
        <v>28</v>
      </c>
      <c r="F292" s="15" t="s">
        <v>29</v>
      </c>
      <c r="G292" s="15" t="s">
        <v>22</v>
      </c>
      <c r="H292" s="16">
        <v>88</v>
      </c>
      <c r="I292" s="17">
        <v>512.79999999999995</v>
      </c>
      <c r="J292" s="18">
        <v>0.04</v>
      </c>
      <c r="K292" s="17">
        <v>45126.3</v>
      </c>
      <c r="L292" s="17">
        <v>43321.24</v>
      </c>
      <c r="M292" s="17">
        <v>386.31</v>
      </c>
      <c r="N292" s="17">
        <v>33994.959999999999</v>
      </c>
      <c r="O292" s="17">
        <v>9326.2800000000007</v>
      </c>
      <c r="P292" s="18">
        <v>0.21529999999999999</v>
      </c>
      <c r="Q292" s="17">
        <v>964.34</v>
      </c>
      <c r="R292" s="15" t="s">
        <v>23</v>
      </c>
    </row>
    <row r="293" spans="1:18" ht="14.25" customHeight="1" x14ac:dyDescent="0.3">
      <c r="A293" s="14">
        <v>45292</v>
      </c>
      <c r="B293" s="15">
        <v>2024</v>
      </c>
      <c r="C293" s="15" t="s">
        <v>18</v>
      </c>
      <c r="D293" s="15" t="s">
        <v>30</v>
      </c>
      <c r="E293" s="15" t="s">
        <v>31</v>
      </c>
      <c r="F293" s="15" t="s">
        <v>32</v>
      </c>
      <c r="G293" s="15" t="s">
        <v>22</v>
      </c>
      <c r="H293" s="16">
        <v>119</v>
      </c>
      <c r="I293" s="17">
        <v>497.65</v>
      </c>
      <c r="J293" s="18">
        <v>0.12</v>
      </c>
      <c r="K293" s="17">
        <v>59219.89</v>
      </c>
      <c r="L293" s="17">
        <v>52113.51</v>
      </c>
      <c r="M293" s="17">
        <v>386.31</v>
      </c>
      <c r="N293" s="17">
        <v>45970.46</v>
      </c>
      <c r="O293" s="17">
        <v>6143.04</v>
      </c>
      <c r="P293" s="18">
        <v>0.1179</v>
      </c>
      <c r="Q293" s="17">
        <v>628.76</v>
      </c>
      <c r="R293" s="15" t="s">
        <v>23</v>
      </c>
    </row>
    <row r="294" spans="1:18" ht="14.25" customHeight="1" x14ac:dyDescent="0.3">
      <c r="A294" s="14">
        <v>45292</v>
      </c>
      <c r="B294" s="15">
        <v>2024</v>
      </c>
      <c r="C294" s="15" t="s">
        <v>18</v>
      </c>
      <c r="D294" s="15" t="s">
        <v>19</v>
      </c>
      <c r="E294" s="15" t="s">
        <v>25</v>
      </c>
      <c r="F294" s="15" t="s">
        <v>26</v>
      </c>
      <c r="G294" s="15" t="s">
        <v>33</v>
      </c>
      <c r="H294" s="16">
        <v>79</v>
      </c>
      <c r="I294" s="17">
        <v>713.5</v>
      </c>
      <c r="J294" s="18">
        <v>5.5E-2</v>
      </c>
      <c r="K294" s="17">
        <v>56366.86</v>
      </c>
      <c r="L294" s="17">
        <v>53266.69</v>
      </c>
      <c r="M294" s="17">
        <v>573.23</v>
      </c>
      <c r="N294" s="17">
        <v>45285.55</v>
      </c>
      <c r="O294" s="17">
        <v>7981.14</v>
      </c>
      <c r="P294" s="18">
        <v>0.14979999999999999</v>
      </c>
      <c r="Q294" s="17">
        <v>965.06</v>
      </c>
      <c r="R294" s="15" t="s">
        <v>23</v>
      </c>
    </row>
    <row r="295" spans="1:18" ht="14.25" customHeight="1" x14ac:dyDescent="0.3">
      <c r="A295" s="14">
        <v>45292</v>
      </c>
      <c r="B295" s="15">
        <v>2024</v>
      </c>
      <c r="C295" s="15" t="s">
        <v>18</v>
      </c>
      <c r="D295" s="15" t="s">
        <v>24</v>
      </c>
      <c r="E295" s="15" t="s">
        <v>28</v>
      </c>
      <c r="F295" s="15" t="s">
        <v>29</v>
      </c>
      <c r="G295" s="15" t="s">
        <v>33</v>
      </c>
      <c r="H295" s="16">
        <v>58</v>
      </c>
      <c r="I295" s="17">
        <v>720.68</v>
      </c>
      <c r="J295" s="18">
        <v>0.04</v>
      </c>
      <c r="K295" s="17">
        <v>41799.18</v>
      </c>
      <c r="L295" s="17">
        <v>40127.21</v>
      </c>
      <c r="M295" s="17">
        <v>573.23</v>
      </c>
      <c r="N295" s="17">
        <v>33247.620000000003</v>
      </c>
      <c r="O295" s="17">
        <v>6879.6</v>
      </c>
      <c r="P295" s="18">
        <v>0.1714</v>
      </c>
      <c r="Q295" s="17">
        <v>912.44</v>
      </c>
      <c r="R295" s="15" t="s">
        <v>23</v>
      </c>
    </row>
    <row r="296" spans="1:18" ht="14.25" customHeight="1" x14ac:dyDescent="0.3">
      <c r="A296" s="14">
        <v>45292</v>
      </c>
      <c r="B296" s="15">
        <v>2024</v>
      </c>
      <c r="C296" s="15" t="s">
        <v>18</v>
      </c>
      <c r="D296" s="15" t="s">
        <v>27</v>
      </c>
      <c r="E296" s="15" t="s">
        <v>31</v>
      </c>
      <c r="F296" s="15" t="s">
        <v>32</v>
      </c>
      <c r="G296" s="15" t="s">
        <v>33</v>
      </c>
      <c r="H296" s="16">
        <v>120</v>
      </c>
      <c r="I296" s="17">
        <v>727.85</v>
      </c>
      <c r="J296" s="18">
        <v>0.12</v>
      </c>
      <c r="K296" s="17">
        <v>87341.56</v>
      </c>
      <c r="L296" s="17">
        <v>76860.58</v>
      </c>
      <c r="M296" s="17">
        <v>573.23</v>
      </c>
      <c r="N296" s="17">
        <v>68788.17</v>
      </c>
      <c r="O296" s="17">
        <v>8072.41</v>
      </c>
      <c r="P296" s="18">
        <v>0.105</v>
      </c>
      <c r="Q296" s="17">
        <v>796.4</v>
      </c>
      <c r="R296" s="15" t="s">
        <v>23</v>
      </c>
    </row>
    <row r="297" spans="1:18" ht="14.25" customHeight="1" x14ac:dyDescent="0.3">
      <c r="A297" s="14">
        <v>45292</v>
      </c>
      <c r="B297" s="15">
        <v>2024</v>
      </c>
      <c r="C297" s="15" t="s">
        <v>18</v>
      </c>
      <c r="D297" s="15" t="s">
        <v>30</v>
      </c>
      <c r="E297" s="15" t="s">
        <v>20</v>
      </c>
      <c r="F297" s="15" t="s">
        <v>21</v>
      </c>
      <c r="G297" s="15" t="s">
        <v>33</v>
      </c>
      <c r="H297" s="16">
        <v>75</v>
      </c>
      <c r="I297" s="17">
        <v>706.33</v>
      </c>
      <c r="J297" s="18">
        <v>8.5000000000000006E-2</v>
      </c>
      <c r="K297" s="17">
        <v>52975.02</v>
      </c>
      <c r="L297" s="17">
        <v>48472.14</v>
      </c>
      <c r="M297" s="17">
        <v>573.23</v>
      </c>
      <c r="N297" s="17">
        <v>42992.61</v>
      </c>
      <c r="O297" s="17">
        <v>5479.54</v>
      </c>
      <c r="P297" s="18">
        <v>0.113</v>
      </c>
      <c r="Q297" s="17">
        <v>997.03</v>
      </c>
      <c r="R297" s="15" t="s">
        <v>23</v>
      </c>
    </row>
    <row r="298" spans="1:18" ht="14.25" customHeight="1" x14ac:dyDescent="0.3">
      <c r="A298" s="14">
        <v>45292</v>
      </c>
      <c r="B298" s="15">
        <v>2024</v>
      </c>
      <c r="C298" s="15" t="s">
        <v>18</v>
      </c>
      <c r="D298" s="15" t="s">
        <v>19</v>
      </c>
      <c r="E298" s="15" t="s">
        <v>31</v>
      </c>
      <c r="F298" s="15" t="s">
        <v>32</v>
      </c>
      <c r="G298" s="15" t="s">
        <v>34</v>
      </c>
      <c r="H298" s="16">
        <v>193</v>
      </c>
      <c r="I298" s="17">
        <v>227.02</v>
      </c>
      <c r="J298" s="18">
        <v>0.12</v>
      </c>
      <c r="K298" s="17">
        <v>43814.9</v>
      </c>
      <c r="L298" s="17">
        <v>38557.11</v>
      </c>
      <c r="M298" s="17">
        <v>157.85</v>
      </c>
      <c r="N298" s="17">
        <v>30464.52</v>
      </c>
      <c r="O298" s="17">
        <v>8092.59</v>
      </c>
      <c r="P298" s="18">
        <v>0.2099</v>
      </c>
      <c r="Q298" s="17">
        <v>532.38</v>
      </c>
      <c r="R298" s="15" t="s">
        <v>23</v>
      </c>
    </row>
    <row r="299" spans="1:18" ht="14.25" customHeight="1" x14ac:dyDescent="0.3">
      <c r="A299" s="14">
        <v>45292</v>
      </c>
      <c r="B299" s="15">
        <v>2024</v>
      </c>
      <c r="C299" s="15" t="s">
        <v>18</v>
      </c>
      <c r="D299" s="15" t="s">
        <v>24</v>
      </c>
      <c r="E299" s="15" t="s">
        <v>20</v>
      </c>
      <c r="F299" s="15" t="s">
        <v>26</v>
      </c>
      <c r="G299" s="15" t="s">
        <v>34</v>
      </c>
      <c r="H299" s="16">
        <v>194</v>
      </c>
      <c r="I299" s="17">
        <v>229.3</v>
      </c>
      <c r="J299" s="18">
        <v>8.5000000000000006E-2</v>
      </c>
      <c r="K299" s="17">
        <v>44484.56</v>
      </c>
      <c r="L299" s="17">
        <v>40703.370000000003</v>
      </c>
      <c r="M299" s="17">
        <v>157.85</v>
      </c>
      <c r="N299" s="17">
        <v>30622.37</v>
      </c>
      <c r="O299" s="17">
        <v>10081.01</v>
      </c>
      <c r="P299" s="18">
        <v>0.2477</v>
      </c>
      <c r="Q299" s="17">
        <v>910.45</v>
      </c>
      <c r="R299" s="15" t="s">
        <v>23</v>
      </c>
    </row>
    <row r="300" spans="1:18" ht="14.25" customHeight="1" x14ac:dyDescent="0.3">
      <c r="A300" s="14">
        <v>45292</v>
      </c>
      <c r="B300" s="15">
        <v>2024</v>
      </c>
      <c r="C300" s="15" t="s">
        <v>18</v>
      </c>
      <c r="D300" s="15" t="s">
        <v>27</v>
      </c>
      <c r="E300" s="15" t="s">
        <v>25</v>
      </c>
      <c r="F300" s="15" t="s">
        <v>21</v>
      </c>
      <c r="G300" s="15" t="s">
        <v>34</v>
      </c>
      <c r="H300" s="16">
        <v>181</v>
      </c>
      <c r="I300" s="17">
        <v>231.58</v>
      </c>
      <c r="J300" s="18">
        <v>5.5E-2</v>
      </c>
      <c r="K300" s="17">
        <v>41916.61</v>
      </c>
      <c r="L300" s="17">
        <v>39611.199999999997</v>
      </c>
      <c r="M300" s="17">
        <v>157.85</v>
      </c>
      <c r="N300" s="17">
        <v>28570.35</v>
      </c>
      <c r="O300" s="17">
        <v>11040.85</v>
      </c>
      <c r="P300" s="18">
        <v>0.2787</v>
      </c>
      <c r="Q300" s="17">
        <v>762.62</v>
      </c>
      <c r="R300" s="15" t="s">
        <v>23</v>
      </c>
    </row>
    <row r="301" spans="1:18" ht="14.25" customHeight="1" x14ac:dyDescent="0.3">
      <c r="A301" s="14">
        <v>45292</v>
      </c>
      <c r="B301" s="15">
        <v>2024</v>
      </c>
      <c r="C301" s="15" t="s">
        <v>18</v>
      </c>
      <c r="D301" s="15" t="s">
        <v>30</v>
      </c>
      <c r="E301" s="15" t="s">
        <v>31</v>
      </c>
      <c r="F301" s="15" t="s">
        <v>32</v>
      </c>
      <c r="G301" s="15" t="s">
        <v>34</v>
      </c>
      <c r="H301" s="16">
        <v>147</v>
      </c>
      <c r="I301" s="17">
        <v>224.74</v>
      </c>
      <c r="J301" s="18">
        <v>0.12</v>
      </c>
      <c r="K301" s="17">
        <v>33036.57</v>
      </c>
      <c r="L301" s="17">
        <v>29072.18</v>
      </c>
      <c r="M301" s="17">
        <v>157.85</v>
      </c>
      <c r="N301" s="17">
        <v>23203.55</v>
      </c>
      <c r="O301" s="17">
        <v>5868.63</v>
      </c>
      <c r="P301" s="18">
        <v>0.2019</v>
      </c>
      <c r="Q301" s="17">
        <v>473.99</v>
      </c>
      <c r="R301" s="15" t="s">
        <v>23</v>
      </c>
    </row>
    <row r="302" spans="1:18" ht="14.25" customHeight="1" x14ac:dyDescent="0.3">
      <c r="A302" s="14">
        <v>45292</v>
      </c>
      <c r="B302" s="15">
        <v>2024</v>
      </c>
      <c r="C302" s="15" t="s">
        <v>18</v>
      </c>
      <c r="D302" s="15" t="s">
        <v>19</v>
      </c>
      <c r="E302" s="15" t="s">
        <v>20</v>
      </c>
      <c r="F302" s="15" t="s">
        <v>26</v>
      </c>
      <c r="G302" s="15" t="s">
        <v>35</v>
      </c>
      <c r="H302" s="16">
        <v>653</v>
      </c>
      <c r="I302" s="17">
        <v>11.35</v>
      </c>
      <c r="J302" s="18">
        <v>8.5000000000000006E-2</v>
      </c>
      <c r="K302" s="17">
        <v>7413.25</v>
      </c>
      <c r="L302" s="17">
        <v>6783.12</v>
      </c>
      <c r="M302" s="17">
        <v>5.82</v>
      </c>
      <c r="N302" s="17">
        <v>3800.07</v>
      </c>
      <c r="O302" s="17">
        <v>2983.05</v>
      </c>
      <c r="P302" s="18">
        <v>0.43980000000000002</v>
      </c>
      <c r="Q302" s="17">
        <v>394.35</v>
      </c>
      <c r="R302" s="15" t="s">
        <v>23</v>
      </c>
    </row>
    <row r="303" spans="1:18" ht="14.25" customHeight="1" x14ac:dyDescent="0.3">
      <c r="A303" s="14">
        <v>45292</v>
      </c>
      <c r="B303" s="15">
        <v>2024</v>
      </c>
      <c r="C303" s="15" t="s">
        <v>18</v>
      </c>
      <c r="D303" s="15" t="s">
        <v>24</v>
      </c>
      <c r="E303" s="15" t="s">
        <v>25</v>
      </c>
      <c r="F303" s="15" t="s">
        <v>21</v>
      </c>
      <c r="G303" s="15" t="s">
        <v>35</v>
      </c>
      <c r="H303" s="16">
        <v>616</v>
      </c>
      <c r="I303" s="17">
        <v>11.46</v>
      </c>
      <c r="J303" s="18">
        <v>5.5E-2</v>
      </c>
      <c r="K303" s="17">
        <v>7061.76</v>
      </c>
      <c r="L303" s="17">
        <v>6673.37</v>
      </c>
      <c r="M303" s="17">
        <v>5.82</v>
      </c>
      <c r="N303" s="17">
        <v>3584.75</v>
      </c>
      <c r="O303" s="17">
        <v>3088.61</v>
      </c>
      <c r="P303" s="18">
        <v>0.46279999999999999</v>
      </c>
      <c r="Q303" s="17">
        <v>362.01</v>
      </c>
      <c r="R303" s="15" t="s">
        <v>23</v>
      </c>
    </row>
    <row r="304" spans="1:18" ht="14.25" customHeight="1" x14ac:dyDescent="0.3">
      <c r="A304" s="14">
        <v>45292</v>
      </c>
      <c r="B304" s="15">
        <v>2024</v>
      </c>
      <c r="C304" s="15" t="s">
        <v>18</v>
      </c>
      <c r="D304" s="15" t="s">
        <v>27</v>
      </c>
      <c r="E304" s="15" t="s">
        <v>31</v>
      </c>
      <c r="F304" s="15" t="s">
        <v>32</v>
      </c>
      <c r="G304" s="15" t="s">
        <v>35</v>
      </c>
      <c r="H304" s="16">
        <v>926</v>
      </c>
      <c r="I304" s="17">
        <v>11.58</v>
      </c>
      <c r="J304" s="18">
        <v>0.12</v>
      </c>
      <c r="K304" s="17">
        <v>10726</v>
      </c>
      <c r="L304" s="17">
        <v>9438.8799999999992</v>
      </c>
      <c r="M304" s="17">
        <v>5.82</v>
      </c>
      <c r="N304" s="17">
        <v>5388.76</v>
      </c>
      <c r="O304" s="17">
        <v>4050.11</v>
      </c>
      <c r="P304" s="18">
        <v>0.42909999999999998</v>
      </c>
      <c r="Q304" s="17">
        <v>279.08</v>
      </c>
      <c r="R304" s="15" t="s">
        <v>23</v>
      </c>
    </row>
    <row r="305" spans="1:18" ht="14.25" customHeight="1" x14ac:dyDescent="0.3">
      <c r="A305" s="14">
        <v>45292</v>
      </c>
      <c r="B305" s="15">
        <v>2024</v>
      </c>
      <c r="C305" s="15" t="s">
        <v>18</v>
      </c>
      <c r="D305" s="15" t="s">
        <v>30</v>
      </c>
      <c r="E305" s="15" t="s">
        <v>20</v>
      </c>
      <c r="F305" s="15" t="s">
        <v>21</v>
      </c>
      <c r="G305" s="15" t="s">
        <v>35</v>
      </c>
      <c r="H305" s="16">
        <v>536</v>
      </c>
      <c r="I305" s="17">
        <v>11.23</v>
      </c>
      <c r="J305" s="18">
        <v>8.5000000000000006E-2</v>
      </c>
      <c r="K305" s="17">
        <v>6021.08</v>
      </c>
      <c r="L305" s="17">
        <v>5509.29</v>
      </c>
      <c r="M305" s="17">
        <v>5.82</v>
      </c>
      <c r="N305" s="17">
        <v>3119.2</v>
      </c>
      <c r="O305" s="17">
        <v>2390.09</v>
      </c>
      <c r="P305" s="18">
        <v>0.43380000000000002</v>
      </c>
      <c r="Q305" s="17">
        <v>349.02</v>
      </c>
      <c r="R305" s="15" t="s">
        <v>23</v>
      </c>
    </row>
    <row r="306" spans="1:18" ht="14.25" customHeight="1" x14ac:dyDescent="0.3">
      <c r="A306" s="14">
        <v>45292</v>
      </c>
      <c r="B306" s="15">
        <v>2024</v>
      </c>
      <c r="C306" s="15" t="s">
        <v>18</v>
      </c>
      <c r="D306" s="15" t="s">
        <v>19</v>
      </c>
      <c r="E306" s="15" t="s">
        <v>28</v>
      </c>
      <c r="F306" s="15" t="s">
        <v>29</v>
      </c>
      <c r="G306" s="15" t="s">
        <v>36</v>
      </c>
      <c r="H306" s="16">
        <v>121</v>
      </c>
      <c r="I306" s="17">
        <v>68.92</v>
      </c>
      <c r="J306" s="18">
        <v>2.5000000000000001E-2</v>
      </c>
      <c r="K306" s="17">
        <v>8339.14</v>
      </c>
      <c r="L306" s="17">
        <v>8130.66</v>
      </c>
      <c r="M306" s="17">
        <v>14.95</v>
      </c>
      <c r="N306" s="17">
        <v>1809.43</v>
      </c>
      <c r="O306" s="17">
        <v>6321.24</v>
      </c>
      <c r="P306" s="18">
        <v>0.77749999999999997</v>
      </c>
      <c r="Q306" s="17">
        <v>394.24</v>
      </c>
      <c r="R306" s="15" t="s">
        <v>23</v>
      </c>
    </row>
    <row r="307" spans="1:18" ht="14.25" customHeight="1" x14ac:dyDescent="0.3">
      <c r="A307" s="14">
        <v>45292</v>
      </c>
      <c r="B307" s="15">
        <v>2024</v>
      </c>
      <c r="C307" s="15" t="s">
        <v>18</v>
      </c>
      <c r="D307" s="15" t="s">
        <v>24</v>
      </c>
      <c r="E307" s="15" t="s">
        <v>31</v>
      </c>
      <c r="F307" s="15" t="s">
        <v>32</v>
      </c>
      <c r="G307" s="15" t="s">
        <v>36</v>
      </c>
      <c r="H307" s="16">
        <v>276</v>
      </c>
      <c r="I307" s="17">
        <v>69.61</v>
      </c>
      <c r="J307" s="18">
        <v>0.105</v>
      </c>
      <c r="K307" s="17">
        <v>19212.419999999998</v>
      </c>
      <c r="L307" s="17">
        <v>17195.11</v>
      </c>
      <c r="M307" s="17">
        <v>14.95</v>
      </c>
      <c r="N307" s="17">
        <v>4127.29</v>
      </c>
      <c r="O307" s="17">
        <v>13067.82</v>
      </c>
      <c r="P307" s="18">
        <v>0.76</v>
      </c>
      <c r="Q307" s="17">
        <v>378.28</v>
      </c>
      <c r="R307" s="15" t="s">
        <v>23</v>
      </c>
    </row>
    <row r="308" spans="1:18" ht="14.25" customHeight="1" x14ac:dyDescent="0.3">
      <c r="A308" s="14">
        <v>45292</v>
      </c>
      <c r="B308" s="15">
        <v>2024</v>
      </c>
      <c r="C308" s="15" t="s">
        <v>18</v>
      </c>
      <c r="D308" s="15" t="s">
        <v>27</v>
      </c>
      <c r="E308" s="15" t="s">
        <v>20</v>
      </c>
      <c r="F308" s="15" t="s">
        <v>21</v>
      </c>
      <c r="G308" s="15" t="s">
        <v>36</v>
      </c>
      <c r="H308" s="16">
        <v>268</v>
      </c>
      <c r="I308" s="17">
        <v>70.3</v>
      </c>
      <c r="J308" s="18">
        <v>7.0000000000000007E-2</v>
      </c>
      <c r="K308" s="17">
        <v>18840.900000000001</v>
      </c>
      <c r="L308" s="17">
        <v>17522.03</v>
      </c>
      <c r="M308" s="17">
        <v>14.95</v>
      </c>
      <c r="N308" s="17">
        <v>4007.66</v>
      </c>
      <c r="O308" s="17">
        <v>13514.37</v>
      </c>
      <c r="P308" s="18">
        <v>0.77129999999999999</v>
      </c>
      <c r="Q308" s="17">
        <v>625.59</v>
      </c>
      <c r="R308" s="15" t="s">
        <v>23</v>
      </c>
    </row>
    <row r="309" spans="1:18" ht="14.25" customHeight="1" x14ac:dyDescent="0.3">
      <c r="A309" s="14">
        <v>45292</v>
      </c>
      <c r="B309" s="15">
        <v>2024</v>
      </c>
      <c r="C309" s="15" t="s">
        <v>18</v>
      </c>
      <c r="D309" s="15" t="s">
        <v>30</v>
      </c>
      <c r="E309" s="15" t="s">
        <v>28</v>
      </c>
      <c r="F309" s="15" t="s">
        <v>32</v>
      </c>
      <c r="G309" s="15" t="s">
        <v>36</v>
      </c>
      <c r="H309" s="16">
        <v>100</v>
      </c>
      <c r="I309" s="17">
        <v>68.23</v>
      </c>
      <c r="J309" s="18">
        <v>2.5000000000000001E-2</v>
      </c>
      <c r="K309" s="17">
        <v>6822.69</v>
      </c>
      <c r="L309" s="17">
        <v>6652.12</v>
      </c>
      <c r="M309" s="17">
        <v>14.95</v>
      </c>
      <c r="N309" s="17">
        <v>1495.39</v>
      </c>
      <c r="O309" s="17">
        <v>5156.7299999999996</v>
      </c>
      <c r="P309" s="18">
        <v>0.7752</v>
      </c>
      <c r="Q309" s="17">
        <v>352.72</v>
      </c>
      <c r="R309" s="15" t="s">
        <v>23</v>
      </c>
    </row>
    <row r="310" spans="1:18" ht="14.25" customHeight="1" x14ac:dyDescent="0.3">
      <c r="A310" s="14">
        <v>45292</v>
      </c>
      <c r="B310" s="15">
        <v>2024</v>
      </c>
      <c r="C310" s="15" t="s">
        <v>18</v>
      </c>
      <c r="D310" s="15" t="s">
        <v>19</v>
      </c>
      <c r="E310" s="15" t="s">
        <v>28</v>
      </c>
      <c r="F310" s="15" t="s">
        <v>32</v>
      </c>
      <c r="G310" s="15" t="s">
        <v>37</v>
      </c>
      <c r="H310" s="16">
        <v>113</v>
      </c>
      <c r="I310" s="17">
        <v>52.7</v>
      </c>
      <c r="J310" s="18">
        <v>2.5000000000000001E-2</v>
      </c>
      <c r="K310" s="17">
        <v>5955.16</v>
      </c>
      <c r="L310" s="17">
        <v>5806.28</v>
      </c>
      <c r="M310" s="17">
        <v>7.47</v>
      </c>
      <c r="N310" s="17">
        <v>844.45</v>
      </c>
      <c r="O310" s="17">
        <v>4961.83</v>
      </c>
      <c r="P310" s="18">
        <v>0.85460000000000003</v>
      </c>
      <c r="Q310" s="17">
        <v>244.77</v>
      </c>
      <c r="R310" s="15" t="s">
        <v>23</v>
      </c>
    </row>
    <row r="311" spans="1:18" ht="14.25" customHeight="1" x14ac:dyDescent="0.3">
      <c r="A311" s="14">
        <v>45292</v>
      </c>
      <c r="B311" s="15">
        <v>2024</v>
      </c>
      <c r="C311" s="15" t="s">
        <v>18</v>
      </c>
      <c r="D311" s="15" t="s">
        <v>24</v>
      </c>
      <c r="E311" s="15" t="s">
        <v>20</v>
      </c>
      <c r="F311" s="15" t="s">
        <v>21</v>
      </c>
      <c r="G311" s="15" t="s">
        <v>37</v>
      </c>
      <c r="H311" s="16">
        <v>215</v>
      </c>
      <c r="I311" s="17">
        <v>53.23</v>
      </c>
      <c r="J311" s="18">
        <v>7.0000000000000007E-2</v>
      </c>
      <c r="K311" s="17">
        <v>11445.14</v>
      </c>
      <c r="L311" s="17">
        <v>10643.98</v>
      </c>
      <c r="M311" s="17">
        <v>7.47</v>
      </c>
      <c r="N311" s="17">
        <v>1606.7</v>
      </c>
      <c r="O311" s="17">
        <v>9037.2800000000007</v>
      </c>
      <c r="P311" s="18">
        <v>0.84909999999999997</v>
      </c>
      <c r="Q311" s="17">
        <v>365.21</v>
      </c>
      <c r="R311" s="15" t="s">
        <v>23</v>
      </c>
    </row>
    <row r="312" spans="1:18" ht="14.25" customHeight="1" x14ac:dyDescent="0.3">
      <c r="A312" s="14">
        <v>45292</v>
      </c>
      <c r="B312" s="15">
        <v>2024</v>
      </c>
      <c r="C312" s="15" t="s">
        <v>18</v>
      </c>
      <c r="D312" s="15" t="s">
        <v>27</v>
      </c>
      <c r="E312" s="15" t="s">
        <v>25</v>
      </c>
      <c r="F312" s="15" t="s">
        <v>26</v>
      </c>
      <c r="G312" s="15" t="s">
        <v>37</v>
      </c>
      <c r="H312" s="16">
        <v>181</v>
      </c>
      <c r="I312" s="17">
        <v>53.76</v>
      </c>
      <c r="J312" s="18">
        <v>0.04</v>
      </c>
      <c r="K312" s="17">
        <v>9730.18</v>
      </c>
      <c r="L312" s="17">
        <v>9340.9699999999993</v>
      </c>
      <c r="M312" s="17">
        <v>7.47</v>
      </c>
      <c r="N312" s="17">
        <v>1352.61</v>
      </c>
      <c r="O312" s="17">
        <v>7988.36</v>
      </c>
      <c r="P312" s="18">
        <v>0.85519999999999996</v>
      </c>
      <c r="Q312" s="17">
        <v>317.02999999999997</v>
      </c>
      <c r="R312" s="15" t="s">
        <v>23</v>
      </c>
    </row>
    <row r="313" spans="1:18" ht="14.25" customHeight="1" x14ac:dyDescent="0.3">
      <c r="A313" s="14">
        <v>45292</v>
      </c>
      <c r="B313" s="15">
        <v>2024</v>
      </c>
      <c r="C313" s="15" t="s">
        <v>18</v>
      </c>
      <c r="D313" s="15" t="s">
        <v>30</v>
      </c>
      <c r="E313" s="15" t="s">
        <v>28</v>
      </c>
      <c r="F313" s="15" t="s">
        <v>29</v>
      </c>
      <c r="G313" s="15" t="s">
        <v>37</v>
      </c>
      <c r="H313" s="16">
        <v>83</v>
      </c>
      <c r="I313" s="17">
        <v>52.18</v>
      </c>
      <c r="J313" s="18">
        <v>2.5000000000000001E-2</v>
      </c>
      <c r="K313" s="17">
        <v>4330.6000000000004</v>
      </c>
      <c r="L313" s="17">
        <v>4222.33</v>
      </c>
      <c r="M313" s="17">
        <v>7.47</v>
      </c>
      <c r="N313" s="17">
        <v>620.26</v>
      </c>
      <c r="O313" s="17">
        <v>3602.07</v>
      </c>
      <c r="P313" s="18">
        <v>0.85309999999999997</v>
      </c>
      <c r="Q313" s="17">
        <v>211.72</v>
      </c>
      <c r="R313" s="15" t="s">
        <v>23</v>
      </c>
    </row>
    <row r="314" spans="1:18" ht="14.25" customHeight="1" x14ac:dyDescent="0.3">
      <c r="A314" s="14">
        <v>45323</v>
      </c>
      <c r="B314" s="15">
        <v>2024</v>
      </c>
      <c r="C314" s="15" t="s">
        <v>38</v>
      </c>
      <c r="D314" s="15" t="s">
        <v>19</v>
      </c>
      <c r="E314" s="15" t="s">
        <v>25</v>
      </c>
      <c r="F314" s="15" t="s">
        <v>26</v>
      </c>
      <c r="G314" s="15" t="s">
        <v>22</v>
      </c>
      <c r="H314" s="16">
        <v>112</v>
      </c>
      <c r="I314" s="17">
        <v>502.69</v>
      </c>
      <c r="J314" s="18">
        <v>5.5E-2</v>
      </c>
      <c r="K314" s="17">
        <v>56301.77</v>
      </c>
      <c r="L314" s="17">
        <v>53205.18</v>
      </c>
      <c r="M314" s="17">
        <v>386.31</v>
      </c>
      <c r="N314" s="17">
        <v>43266.32</v>
      </c>
      <c r="O314" s="17">
        <v>9938.86</v>
      </c>
      <c r="P314" s="18">
        <v>0.18679999999999999</v>
      </c>
      <c r="Q314" s="17">
        <v>1005.91</v>
      </c>
      <c r="R314" s="15" t="s">
        <v>23</v>
      </c>
    </row>
    <row r="315" spans="1:18" ht="14.25" customHeight="1" x14ac:dyDescent="0.3">
      <c r="A315" s="14">
        <v>45323</v>
      </c>
      <c r="B315" s="15">
        <v>2024</v>
      </c>
      <c r="C315" s="15" t="s">
        <v>38</v>
      </c>
      <c r="D315" s="15" t="s">
        <v>24</v>
      </c>
      <c r="E315" s="15" t="s">
        <v>28</v>
      </c>
      <c r="F315" s="15" t="s">
        <v>29</v>
      </c>
      <c r="G315" s="15" t="s">
        <v>22</v>
      </c>
      <c r="H315" s="16">
        <v>82</v>
      </c>
      <c r="I315" s="17">
        <v>507.75</v>
      </c>
      <c r="J315" s="18">
        <v>0.04</v>
      </c>
      <c r="K315" s="17">
        <v>41635.550000000003</v>
      </c>
      <c r="L315" s="17">
        <v>39970.129999999997</v>
      </c>
      <c r="M315" s="17">
        <v>386.31</v>
      </c>
      <c r="N315" s="17">
        <v>31677.119999999999</v>
      </c>
      <c r="O315" s="17">
        <v>8293</v>
      </c>
      <c r="P315" s="18">
        <v>0.20749999999999999</v>
      </c>
      <c r="Q315" s="17">
        <v>883.93</v>
      </c>
      <c r="R315" s="15" t="s">
        <v>23</v>
      </c>
    </row>
    <row r="316" spans="1:18" ht="14.25" customHeight="1" x14ac:dyDescent="0.3">
      <c r="A316" s="14">
        <v>45323</v>
      </c>
      <c r="B316" s="15">
        <v>2024</v>
      </c>
      <c r="C316" s="15" t="s">
        <v>38</v>
      </c>
      <c r="D316" s="15" t="s">
        <v>27</v>
      </c>
      <c r="E316" s="15" t="s">
        <v>31</v>
      </c>
      <c r="F316" s="15" t="s">
        <v>32</v>
      </c>
      <c r="G316" s="15" t="s">
        <v>22</v>
      </c>
      <c r="H316" s="16">
        <v>179</v>
      </c>
      <c r="I316" s="17">
        <v>512.79999999999995</v>
      </c>
      <c r="J316" s="18">
        <v>0.12</v>
      </c>
      <c r="K316" s="17">
        <v>91790.99</v>
      </c>
      <c r="L316" s="17">
        <v>80776.08</v>
      </c>
      <c r="M316" s="17">
        <v>386.31</v>
      </c>
      <c r="N316" s="17">
        <v>69148.850000000006</v>
      </c>
      <c r="O316" s="17">
        <v>11627.23</v>
      </c>
      <c r="P316" s="18">
        <v>0.1439</v>
      </c>
      <c r="Q316" s="17">
        <v>842.48</v>
      </c>
      <c r="R316" s="15" t="s">
        <v>23</v>
      </c>
    </row>
    <row r="317" spans="1:18" ht="14.25" customHeight="1" x14ac:dyDescent="0.3">
      <c r="A317" s="14">
        <v>45323</v>
      </c>
      <c r="B317" s="15">
        <v>2024</v>
      </c>
      <c r="C317" s="15" t="s">
        <v>38</v>
      </c>
      <c r="D317" s="15" t="s">
        <v>30</v>
      </c>
      <c r="E317" s="15" t="s">
        <v>20</v>
      </c>
      <c r="F317" s="15" t="s">
        <v>21</v>
      </c>
      <c r="G317" s="15" t="s">
        <v>22</v>
      </c>
      <c r="H317" s="16">
        <v>112</v>
      </c>
      <c r="I317" s="17">
        <v>497.65</v>
      </c>
      <c r="J317" s="18">
        <v>8.5000000000000006E-2</v>
      </c>
      <c r="K317" s="17">
        <v>55736.37</v>
      </c>
      <c r="L317" s="17">
        <v>50998.78</v>
      </c>
      <c r="M317" s="17">
        <v>386.31</v>
      </c>
      <c r="N317" s="17">
        <v>43266.32</v>
      </c>
      <c r="O317" s="17">
        <v>7732.46</v>
      </c>
      <c r="P317" s="18">
        <v>0.15160000000000001</v>
      </c>
      <c r="Q317" s="17">
        <v>1025.0999999999999</v>
      </c>
      <c r="R317" s="15" t="s">
        <v>23</v>
      </c>
    </row>
    <row r="318" spans="1:18" ht="14.25" customHeight="1" x14ac:dyDescent="0.3">
      <c r="A318" s="14">
        <v>45323</v>
      </c>
      <c r="B318" s="15">
        <v>2024</v>
      </c>
      <c r="C318" s="15" t="s">
        <v>38</v>
      </c>
      <c r="D318" s="15" t="s">
        <v>19</v>
      </c>
      <c r="E318" s="15" t="s">
        <v>28</v>
      </c>
      <c r="F318" s="15" t="s">
        <v>29</v>
      </c>
      <c r="G318" s="15" t="s">
        <v>33</v>
      </c>
      <c r="H318" s="16">
        <v>53</v>
      </c>
      <c r="I318" s="17">
        <v>713.5</v>
      </c>
      <c r="J318" s="18">
        <v>0.04</v>
      </c>
      <c r="K318" s="17">
        <v>37815.74</v>
      </c>
      <c r="L318" s="17">
        <v>36303.11</v>
      </c>
      <c r="M318" s="17">
        <v>573.23</v>
      </c>
      <c r="N318" s="17">
        <v>30381.439999999999</v>
      </c>
      <c r="O318" s="17">
        <v>5921.67</v>
      </c>
      <c r="P318" s="18">
        <v>0.16309999999999999</v>
      </c>
      <c r="Q318" s="17">
        <v>810.69</v>
      </c>
      <c r="R318" s="15" t="s">
        <v>23</v>
      </c>
    </row>
    <row r="319" spans="1:18" ht="14.25" customHeight="1" x14ac:dyDescent="0.3">
      <c r="A319" s="14">
        <v>45323</v>
      </c>
      <c r="B319" s="15">
        <v>2024</v>
      </c>
      <c r="C319" s="15" t="s">
        <v>38</v>
      </c>
      <c r="D319" s="15" t="s">
        <v>24</v>
      </c>
      <c r="E319" s="15" t="s">
        <v>31</v>
      </c>
      <c r="F319" s="15" t="s">
        <v>32</v>
      </c>
      <c r="G319" s="15" t="s">
        <v>33</v>
      </c>
      <c r="H319" s="16">
        <v>111</v>
      </c>
      <c r="I319" s="17">
        <v>720.68</v>
      </c>
      <c r="J319" s="18">
        <v>0.12</v>
      </c>
      <c r="K319" s="17">
        <v>79994.97</v>
      </c>
      <c r="L319" s="17">
        <v>70395.58</v>
      </c>
      <c r="M319" s="17">
        <v>573.23</v>
      </c>
      <c r="N319" s="17">
        <v>63629.06</v>
      </c>
      <c r="O319" s="17">
        <v>6766.52</v>
      </c>
      <c r="P319" s="18">
        <v>9.6100000000000005E-2</v>
      </c>
      <c r="Q319" s="17">
        <v>780.65</v>
      </c>
      <c r="R319" s="15" t="s">
        <v>23</v>
      </c>
    </row>
    <row r="320" spans="1:18" ht="14.25" customHeight="1" x14ac:dyDescent="0.3">
      <c r="A320" s="14">
        <v>45323</v>
      </c>
      <c r="B320" s="15">
        <v>2024</v>
      </c>
      <c r="C320" s="15" t="s">
        <v>38</v>
      </c>
      <c r="D320" s="15" t="s">
        <v>27</v>
      </c>
      <c r="E320" s="15" t="s">
        <v>20</v>
      </c>
      <c r="F320" s="15" t="s">
        <v>21</v>
      </c>
      <c r="G320" s="15" t="s">
        <v>33</v>
      </c>
      <c r="H320" s="16">
        <v>108</v>
      </c>
      <c r="I320" s="17">
        <v>727.85</v>
      </c>
      <c r="J320" s="18">
        <v>8.5000000000000006E-2</v>
      </c>
      <c r="K320" s="17">
        <v>78607.41</v>
      </c>
      <c r="L320" s="17">
        <v>71925.77</v>
      </c>
      <c r="M320" s="17">
        <v>573.23</v>
      </c>
      <c r="N320" s="17">
        <v>61909.35</v>
      </c>
      <c r="O320" s="17">
        <v>10016.42</v>
      </c>
      <c r="P320" s="18">
        <v>0.13930000000000001</v>
      </c>
      <c r="Q320" s="17">
        <v>1251.49</v>
      </c>
      <c r="R320" s="15" t="s">
        <v>23</v>
      </c>
    </row>
    <row r="321" spans="1:18" ht="14.25" customHeight="1" x14ac:dyDescent="0.3">
      <c r="A321" s="14">
        <v>45323</v>
      </c>
      <c r="B321" s="15">
        <v>2024</v>
      </c>
      <c r="C321" s="15" t="s">
        <v>38</v>
      </c>
      <c r="D321" s="15" t="s">
        <v>30</v>
      </c>
      <c r="E321" s="15" t="s">
        <v>25</v>
      </c>
      <c r="F321" s="15" t="s">
        <v>26</v>
      </c>
      <c r="G321" s="15" t="s">
        <v>33</v>
      </c>
      <c r="H321" s="16">
        <v>61</v>
      </c>
      <c r="I321" s="17">
        <v>706.33</v>
      </c>
      <c r="J321" s="18">
        <v>5.5E-2</v>
      </c>
      <c r="K321" s="17">
        <v>43086.35</v>
      </c>
      <c r="L321" s="17">
        <v>40716.6</v>
      </c>
      <c r="M321" s="17">
        <v>573.23</v>
      </c>
      <c r="N321" s="17">
        <v>34967.32</v>
      </c>
      <c r="O321" s="17">
        <v>5749.28</v>
      </c>
      <c r="P321" s="18">
        <v>0.14119999999999999</v>
      </c>
      <c r="Q321" s="17">
        <v>851.36</v>
      </c>
      <c r="R321" s="15" t="s">
        <v>23</v>
      </c>
    </row>
    <row r="322" spans="1:18" ht="14.25" customHeight="1" x14ac:dyDescent="0.3">
      <c r="A322" s="14">
        <v>45323</v>
      </c>
      <c r="B322" s="15">
        <v>2024</v>
      </c>
      <c r="C322" s="15" t="s">
        <v>38</v>
      </c>
      <c r="D322" s="15" t="s">
        <v>19</v>
      </c>
      <c r="E322" s="15" t="s">
        <v>20</v>
      </c>
      <c r="F322" s="15" t="s">
        <v>26</v>
      </c>
      <c r="G322" s="15" t="s">
        <v>34</v>
      </c>
      <c r="H322" s="16">
        <v>196</v>
      </c>
      <c r="I322" s="17">
        <v>227.02</v>
      </c>
      <c r="J322" s="18">
        <v>8.5000000000000006E-2</v>
      </c>
      <c r="K322" s="17">
        <v>44495.96</v>
      </c>
      <c r="L322" s="17">
        <v>40713.800000000003</v>
      </c>
      <c r="M322" s="17">
        <v>157.85</v>
      </c>
      <c r="N322" s="17">
        <v>30938.06</v>
      </c>
      <c r="O322" s="17">
        <v>9775.74</v>
      </c>
      <c r="P322" s="18">
        <v>0.24010000000000001</v>
      </c>
      <c r="Q322" s="17">
        <v>821.61</v>
      </c>
      <c r="R322" s="15" t="s">
        <v>23</v>
      </c>
    </row>
    <row r="323" spans="1:18" ht="14.25" customHeight="1" x14ac:dyDescent="0.3">
      <c r="A323" s="14">
        <v>45323</v>
      </c>
      <c r="B323" s="15">
        <v>2024</v>
      </c>
      <c r="C323" s="15" t="s">
        <v>38</v>
      </c>
      <c r="D323" s="15" t="s">
        <v>24</v>
      </c>
      <c r="E323" s="15" t="s">
        <v>25</v>
      </c>
      <c r="F323" s="15" t="s">
        <v>21</v>
      </c>
      <c r="G323" s="15" t="s">
        <v>34</v>
      </c>
      <c r="H323" s="16">
        <v>171</v>
      </c>
      <c r="I323" s="17">
        <v>229.3</v>
      </c>
      <c r="J323" s="18">
        <v>5.5E-2</v>
      </c>
      <c r="K323" s="17">
        <v>39210.620000000003</v>
      </c>
      <c r="L323" s="17">
        <v>37054.04</v>
      </c>
      <c r="M323" s="17">
        <v>157.85</v>
      </c>
      <c r="N323" s="17">
        <v>26991.88</v>
      </c>
      <c r="O323" s="17">
        <v>10062.16</v>
      </c>
      <c r="P323" s="18">
        <v>0.27160000000000001</v>
      </c>
      <c r="Q323" s="17">
        <v>726.4</v>
      </c>
      <c r="R323" s="15" t="s">
        <v>23</v>
      </c>
    </row>
    <row r="324" spans="1:18" ht="14.25" customHeight="1" x14ac:dyDescent="0.3">
      <c r="A324" s="14">
        <v>45323</v>
      </c>
      <c r="B324" s="15">
        <v>2024</v>
      </c>
      <c r="C324" s="15" t="s">
        <v>38</v>
      </c>
      <c r="D324" s="15" t="s">
        <v>27</v>
      </c>
      <c r="E324" s="15" t="s">
        <v>31</v>
      </c>
      <c r="F324" s="15" t="s">
        <v>32</v>
      </c>
      <c r="G324" s="15" t="s">
        <v>34</v>
      </c>
      <c r="H324" s="16">
        <v>256</v>
      </c>
      <c r="I324" s="17">
        <v>231.58</v>
      </c>
      <c r="J324" s="18">
        <v>0.12</v>
      </c>
      <c r="K324" s="17">
        <v>59285.38</v>
      </c>
      <c r="L324" s="17">
        <v>52171.13</v>
      </c>
      <c r="M324" s="17">
        <v>157.85</v>
      </c>
      <c r="N324" s="17">
        <v>40408.9</v>
      </c>
      <c r="O324" s="17">
        <v>11762.23</v>
      </c>
      <c r="P324" s="18">
        <v>0.22550000000000001</v>
      </c>
      <c r="Q324" s="17">
        <v>581.96</v>
      </c>
      <c r="R324" s="15" t="s">
        <v>23</v>
      </c>
    </row>
    <row r="325" spans="1:18" ht="14.25" customHeight="1" x14ac:dyDescent="0.3">
      <c r="A325" s="14">
        <v>45323</v>
      </c>
      <c r="B325" s="15">
        <v>2024</v>
      </c>
      <c r="C325" s="15" t="s">
        <v>38</v>
      </c>
      <c r="D325" s="15" t="s">
        <v>30</v>
      </c>
      <c r="E325" s="15" t="s">
        <v>20</v>
      </c>
      <c r="F325" s="15" t="s">
        <v>21</v>
      </c>
      <c r="G325" s="15" t="s">
        <v>34</v>
      </c>
      <c r="H325" s="16">
        <v>152</v>
      </c>
      <c r="I325" s="17">
        <v>224.74</v>
      </c>
      <c r="J325" s="18">
        <v>8.5000000000000006E-2</v>
      </c>
      <c r="K325" s="17">
        <v>34160.26</v>
      </c>
      <c r="L325" s="17">
        <v>31256.639999999999</v>
      </c>
      <c r="M325" s="17">
        <v>157.85</v>
      </c>
      <c r="N325" s="17">
        <v>23992.78</v>
      </c>
      <c r="O325" s="17">
        <v>7263.86</v>
      </c>
      <c r="P325" s="18">
        <v>0.2324</v>
      </c>
      <c r="Q325" s="17">
        <v>724.21</v>
      </c>
      <c r="R325" s="15" t="s">
        <v>23</v>
      </c>
    </row>
    <row r="326" spans="1:18" ht="14.25" customHeight="1" x14ac:dyDescent="0.3">
      <c r="A326" s="14">
        <v>45323</v>
      </c>
      <c r="B326" s="15">
        <v>2024</v>
      </c>
      <c r="C326" s="15" t="s">
        <v>38</v>
      </c>
      <c r="D326" s="15" t="s">
        <v>19</v>
      </c>
      <c r="E326" s="15" t="s">
        <v>25</v>
      </c>
      <c r="F326" s="15" t="s">
        <v>21</v>
      </c>
      <c r="G326" s="15" t="s">
        <v>35</v>
      </c>
      <c r="H326" s="16">
        <v>574</v>
      </c>
      <c r="I326" s="17">
        <v>11.35</v>
      </c>
      <c r="J326" s="18">
        <v>5.5E-2</v>
      </c>
      <c r="K326" s="17">
        <v>6516.39</v>
      </c>
      <c r="L326" s="17">
        <v>6157.99</v>
      </c>
      <c r="M326" s="17">
        <v>5.82</v>
      </c>
      <c r="N326" s="17">
        <v>3340.34</v>
      </c>
      <c r="O326" s="17">
        <v>2817.65</v>
      </c>
      <c r="P326" s="18">
        <v>0.45760000000000001</v>
      </c>
      <c r="Q326" s="17">
        <v>326.85000000000002</v>
      </c>
      <c r="R326" s="15" t="s">
        <v>23</v>
      </c>
    </row>
    <row r="327" spans="1:18" ht="14.25" customHeight="1" x14ac:dyDescent="0.3">
      <c r="A327" s="14">
        <v>45323</v>
      </c>
      <c r="B327" s="15">
        <v>2024</v>
      </c>
      <c r="C327" s="15" t="s">
        <v>38</v>
      </c>
      <c r="D327" s="15" t="s">
        <v>24</v>
      </c>
      <c r="E327" s="15" t="s">
        <v>31</v>
      </c>
      <c r="F327" s="15" t="s">
        <v>32</v>
      </c>
      <c r="G327" s="15" t="s">
        <v>35</v>
      </c>
      <c r="H327" s="16">
        <v>820</v>
      </c>
      <c r="I327" s="17">
        <v>11.46</v>
      </c>
      <c r="J327" s="18">
        <v>0.12</v>
      </c>
      <c r="K327" s="17">
        <v>9400.4</v>
      </c>
      <c r="L327" s="17">
        <v>8272.35</v>
      </c>
      <c r="M327" s="17">
        <v>5.82</v>
      </c>
      <c r="N327" s="17">
        <v>4771.91</v>
      </c>
      <c r="O327" s="17">
        <v>3500.44</v>
      </c>
      <c r="P327" s="18">
        <v>0.42309999999999998</v>
      </c>
      <c r="Q327" s="17">
        <v>256.47000000000003</v>
      </c>
      <c r="R327" s="15" t="s">
        <v>23</v>
      </c>
    </row>
    <row r="328" spans="1:18" ht="14.25" customHeight="1" x14ac:dyDescent="0.3">
      <c r="A328" s="14">
        <v>45323</v>
      </c>
      <c r="B328" s="15">
        <v>2024</v>
      </c>
      <c r="C328" s="15" t="s">
        <v>38</v>
      </c>
      <c r="D328" s="15" t="s">
        <v>27</v>
      </c>
      <c r="E328" s="15" t="s">
        <v>20</v>
      </c>
      <c r="F328" s="15" t="s">
        <v>21</v>
      </c>
      <c r="G328" s="15" t="s">
        <v>35</v>
      </c>
      <c r="H328" s="16">
        <v>882</v>
      </c>
      <c r="I328" s="17">
        <v>11.58</v>
      </c>
      <c r="J328" s="18">
        <v>8.5000000000000006E-2</v>
      </c>
      <c r="K328" s="17">
        <v>10216.34</v>
      </c>
      <c r="L328" s="17">
        <v>9347.9500000000007</v>
      </c>
      <c r="M328" s="17">
        <v>5.82</v>
      </c>
      <c r="N328" s="17">
        <v>5132.71</v>
      </c>
      <c r="O328" s="17">
        <v>4215.24</v>
      </c>
      <c r="P328" s="18">
        <v>0.45090000000000002</v>
      </c>
      <c r="Q328" s="17">
        <v>433.26</v>
      </c>
      <c r="R328" s="15" t="s">
        <v>23</v>
      </c>
    </row>
    <row r="329" spans="1:18" ht="14.25" customHeight="1" x14ac:dyDescent="0.3">
      <c r="A329" s="14">
        <v>45323</v>
      </c>
      <c r="B329" s="15">
        <v>2024</v>
      </c>
      <c r="C329" s="15" t="s">
        <v>38</v>
      </c>
      <c r="D329" s="15" t="s">
        <v>30</v>
      </c>
      <c r="E329" s="15" t="s">
        <v>25</v>
      </c>
      <c r="F329" s="15" t="s">
        <v>26</v>
      </c>
      <c r="G329" s="15" t="s">
        <v>35</v>
      </c>
      <c r="H329" s="16">
        <v>468</v>
      </c>
      <c r="I329" s="17">
        <v>11.23</v>
      </c>
      <c r="J329" s="18">
        <v>5.5E-2</v>
      </c>
      <c r="K329" s="17">
        <v>5257.21</v>
      </c>
      <c r="L329" s="17">
        <v>4968.0600000000004</v>
      </c>
      <c r="M329" s="17">
        <v>5.82</v>
      </c>
      <c r="N329" s="17">
        <v>2723.48</v>
      </c>
      <c r="O329" s="17">
        <v>2244.58</v>
      </c>
      <c r="P329" s="18">
        <v>0.45179999999999998</v>
      </c>
      <c r="Q329" s="17">
        <v>286.70999999999998</v>
      </c>
      <c r="R329" s="15" t="s">
        <v>23</v>
      </c>
    </row>
    <row r="330" spans="1:18" ht="14.25" customHeight="1" x14ac:dyDescent="0.3">
      <c r="A330" s="14">
        <v>45323</v>
      </c>
      <c r="B330" s="15">
        <v>2024</v>
      </c>
      <c r="C330" s="15" t="s">
        <v>38</v>
      </c>
      <c r="D330" s="15" t="s">
        <v>19</v>
      </c>
      <c r="E330" s="15" t="s">
        <v>31</v>
      </c>
      <c r="F330" s="15" t="s">
        <v>32</v>
      </c>
      <c r="G330" s="15" t="s">
        <v>36</v>
      </c>
      <c r="H330" s="16">
        <v>240</v>
      </c>
      <c r="I330" s="17">
        <v>68.92</v>
      </c>
      <c r="J330" s="18">
        <v>0.105</v>
      </c>
      <c r="K330" s="17">
        <v>16540.45</v>
      </c>
      <c r="L330" s="17">
        <v>14803.7</v>
      </c>
      <c r="M330" s="17">
        <v>14.95</v>
      </c>
      <c r="N330" s="17">
        <v>3588.95</v>
      </c>
      <c r="O330" s="17">
        <v>11214.75</v>
      </c>
      <c r="P330" s="18">
        <v>0.75760000000000005</v>
      </c>
      <c r="Q330" s="17">
        <v>359.47</v>
      </c>
      <c r="R330" s="15" t="s">
        <v>23</v>
      </c>
    </row>
    <row r="331" spans="1:18" ht="14.25" customHeight="1" x14ac:dyDescent="0.3">
      <c r="A331" s="14">
        <v>45323</v>
      </c>
      <c r="B331" s="15">
        <v>2024</v>
      </c>
      <c r="C331" s="15" t="s">
        <v>38</v>
      </c>
      <c r="D331" s="15" t="s">
        <v>24</v>
      </c>
      <c r="E331" s="15" t="s">
        <v>20</v>
      </c>
      <c r="F331" s="15" t="s">
        <v>21</v>
      </c>
      <c r="G331" s="15" t="s">
        <v>36</v>
      </c>
      <c r="H331" s="16">
        <v>237</v>
      </c>
      <c r="I331" s="17">
        <v>69.61</v>
      </c>
      <c r="J331" s="18">
        <v>7.0000000000000007E-2</v>
      </c>
      <c r="K331" s="17">
        <v>16497.62</v>
      </c>
      <c r="L331" s="17">
        <v>15342.78</v>
      </c>
      <c r="M331" s="17">
        <v>14.95</v>
      </c>
      <c r="N331" s="17">
        <v>3544.09</v>
      </c>
      <c r="O331" s="17">
        <v>11798.7</v>
      </c>
      <c r="P331" s="18">
        <v>0.76900000000000002</v>
      </c>
      <c r="Q331" s="17">
        <v>587.58000000000004</v>
      </c>
      <c r="R331" s="15" t="s">
        <v>23</v>
      </c>
    </row>
    <row r="332" spans="1:18" ht="14.25" customHeight="1" x14ac:dyDescent="0.3">
      <c r="A332" s="14">
        <v>45323</v>
      </c>
      <c r="B332" s="15">
        <v>2024</v>
      </c>
      <c r="C332" s="15" t="s">
        <v>38</v>
      </c>
      <c r="D332" s="15" t="s">
        <v>27</v>
      </c>
      <c r="E332" s="15" t="s">
        <v>28</v>
      </c>
      <c r="F332" s="15" t="s">
        <v>32</v>
      </c>
      <c r="G332" s="15" t="s">
        <v>36</v>
      </c>
      <c r="H332" s="16">
        <v>157</v>
      </c>
      <c r="I332" s="17">
        <v>70.3</v>
      </c>
      <c r="J332" s="18">
        <v>2.5000000000000001E-2</v>
      </c>
      <c r="K332" s="17">
        <v>11037.39</v>
      </c>
      <c r="L332" s="17">
        <v>10761.45</v>
      </c>
      <c r="M332" s="17">
        <v>14.95</v>
      </c>
      <c r="N332" s="17">
        <v>2347.77</v>
      </c>
      <c r="O332" s="17">
        <v>8413.68</v>
      </c>
      <c r="P332" s="18">
        <v>0.78180000000000005</v>
      </c>
      <c r="Q332" s="17">
        <v>444.52</v>
      </c>
      <c r="R332" s="15" t="s">
        <v>23</v>
      </c>
    </row>
    <row r="333" spans="1:18" ht="14.25" customHeight="1" x14ac:dyDescent="0.3">
      <c r="A333" s="14">
        <v>45323</v>
      </c>
      <c r="B333" s="15">
        <v>2024</v>
      </c>
      <c r="C333" s="15" t="s">
        <v>38</v>
      </c>
      <c r="D333" s="15" t="s">
        <v>30</v>
      </c>
      <c r="E333" s="15" t="s">
        <v>31</v>
      </c>
      <c r="F333" s="15" t="s">
        <v>32</v>
      </c>
      <c r="G333" s="15" t="s">
        <v>36</v>
      </c>
      <c r="H333" s="16">
        <v>209</v>
      </c>
      <c r="I333" s="17">
        <v>68.23</v>
      </c>
      <c r="J333" s="18">
        <v>0.105</v>
      </c>
      <c r="K333" s="17">
        <v>14259.42</v>
      </c>
      <c r="L333" s="17">
        <v>12762.18</v>
      </c>
      <c r="M333" s="17">
        <v>14.95</v>
      </c>
      <c r="N333" s="17">
        <v>3125.38</v>
      </c>
      <c r="O333" s="17">
        <v>9636.81</v>
      </c>
      <c r="P333" s="18">
        <v>0.75509999999999999</v>
      </c>
      <c r="Q333" s="17">
        <v>303.52999999999997</v>
      </c>
      <c r="R333" s="15" t="s">
        <v>23</v>
      </c>
    </row>
    <row r="334" spans="1:18" ht="14.25" customHeight="1" x14ac:dyDescent="0.3">
      <c r="A334" s="14">
        <v>45323</v>
      </c>
      <c r="B334" s="15">
        <v>2024</v>
      </c>
      <c r="C334" s="15" t="s">
        <v>38</v>
      </c>
      <c r="D334" s="15" t="s">
        <v>19</v>
      </c>
      <c r="E334" s="15" t="s">
        <v>20</v>
      </c>
      <c r="F334" s="15" t="s">
        <v>21</v>
      </c>
      <c r="G334" s="15" t="s">
        <v>37</v>
      </c>
      <c r="H334" s="16">
        <v>202</v>
      </c>
      <c r="I334" s="17">
        <v>52.7</v>
      </c>
      <c r="J334" s="18">
        <v>7.0000000000000007E-2</v>
      </c>
      <c r="K334" s="17">
        <v>10645.51</v>
      </c>
      <c r="L334" s="17">
        <v>9900.33</v>
      </c>
      <c r="M334" s="17">
        <v>7.47</v>
      </c>
      <c r="N334" s="17">
        <v>1509.55</v>
      </c>
      <c r="O334" s="17">
        <v>8390.7800000000007</v>
      </c>
      <c r="P334" s="18">
        <v>0.84750000000000003</v>
      </c>
      <c r="Q334" s="17">
        <v>347.4</v>
      </c>
      <c r="R334" s="15" t="s">
        <v>23</v>
      </c>
    </row>
    <row r="335" spans="1:18" ht="14.25" customHeight="1" x14ac:dyDescent="0.3">
      <c r="A335" s="14">
        <v>45323</v>
      </c>
      <c r="B335" s="15">
        <v>2024</v>
      </c>
      <c r="C335" s="15" t="s">
        <v>38</v>
      </c>
      <c r="D335" s="15" t="s">
        <v>24</v>
      </c>
      <c r="E335" s="15" t="s">
        <v>25</v>
      </c>
      <c r="F335" s="15" t="s">
        <v>26</v>
      </c>
      <c r="G335" s="15" t="s">
        <v>37</v>
      </c>
      <c r="H335" s="16">
        <v>182</v>
      </c>
      <c r="I335" s="17">
        <v>53.23</v>
      </c>
      <c r="J335" s="18">
        <v>0.04</v>
      </c>
      <c r="K335" s="17">
        <v>9688.44</v>
      </c>
      <c r="L335" s="17">
        <v>9300.9</v>
      </c>
      <c r="M335" s="17">
        <v>7.47</v>
      </c>
      <c r="N335" s="17">
        <v>1360.09</v>
      </c>
      <c r="O335" s="17">
        <v>7940.82</v>
      </c>
      <c r="P335" s="18">
        <v>0.8538</v>
      </c>
      <c r="Q335" s="17">
        <v>308.36</v>
      </c>
      <c r="R335" s="15" t="s">
        <v>23</v>
      </c>
    </row>
    <row r="336" spans="1:18" ht="14.25" customHeight="1" x14ac:dyDescent="0.3">
      <c r="A336" s="14">
        <v>45323</v>
      </c>
      <c r="B336" s="15">
        <v>2024</v>
      </c>
      <c r="C336" s="15" t="s">
        <v>38</v>
      </c>
      <c r="D336" s="15" t="s">
        <v>27</v>
      </c>
      <c r="E336" s="15" t="s">
        <v>28</v>
      </c>
      <c r="F336" s="15" t="s">
        <v>29</v>
      </c>
      <c r="G336" s="15" t="s">
        <v>37</v>
      </c>
      <c r="H336" s="16">
        <v>134</v>
      </c>
      <c r="I336" s="17">
        <v>53.76</v>
      </c>
      <c r="J336" s="18">
        <v>2.5000000000000001E-2</v>
      </c>
      <c r="K336" s="17">
        <v>7203.56</v>
      </c>
      <c r="L336" s="17">
        <v>7023.47</v>
      </c>
      <c r="M336" s="17">
        <v>7.47</v>
      </c>
      <c r="N336" s="17">
        <v>1001.38</v>
      </c>
      <c r="O336" s="17">
        <v>6022.09</v>
      </c>
      <c r="P336" s="18">
        <v>0.85740000000000005</v>
      </c>
      <c r="Q336" s="17">
        <v>276.81</v>
      </c>
      <c r="R336" s="15" t="s">
        <v>23</v>
      </c>
    </row>
    <row r="337" spans="1:18" ht="14.25" customHeight="1" x14ac:dyDescent="0.3">
      <c r="A337" s="14">
        <v>45323</v>
      </c>
      <c r="B337" s="15">
        <v>2024</v>
      </c>
      <c r="C337" s="15" t="s">
        <v>38</v>
      </c>
      <c r="D337" s="15" t="s">
        <v>30</v>
      </c>
      <c r="E337" s="15" t="s">
        <v>20</v>
      </c>
      <c r="F337" s="15" t="s">
        <v>26</v>
      </c>
      <c r="G337" s="15" t="s">
        <v>37</v>
      </c>
      <c r="H337" s="16">
        <v>152</v>
      </c>
      <c r="I337" s="17">
        <v>52.18</v>
      </c>
      <c r="J337" s="18">
        <v>7.0000000000000007E-2</v>
      </c>
      <c r="K337" s="17">
        <v>7930.73</v>
      </c>
      <c r="L337" s="17">
        <v>7375.58</v>
      </c>
      <c r="M337" s="17">
        <v>7.47</v>
      </c>
      <c r="N337" s="17">
        <v>1135.9000000000001</v>
      </c>
      <c r="O337" s="17">
        <v>6239.68</v>
      </c>
      <c r="P337" s="18">
        <v>0.84599999999999997</v>
      </c>
      <c r="Q337" s="17">
        <v>311.87</v>
      </c>
      <c r="R337" s="15" t="s">
        <v>23</v>
      </c>
    </row>
    <row r="338" spans="1:18" ht="14.25" customHeight="1" x14ac:dyDescent="0.3">
      <c r="A338" s="14">
        <v>45352</v>
      </c>
      <c r="B338" s="15">
        <v>2024</v>
      </c>
      <c r="C338" s="15" t="s">
        <v>39</v>
      </c>
      <c r="D338" s="15" t="s">
        <v>19</v>
      </c>
      <c r="E338" s="15" t="s">
        <v>28</v>
      </c>
      <c r="F338" s="15" t="s">
        <v>29</v>
      </c>
      <c r="G338" s="15" t="s">
        <v>22</v>
      </c>
      <c r="H338" s="16">
        <v>115</v>
      </c>
      <c r="I338" s="17">
        <v>502.69</v>
      </c>
      <c r="J338" s="18">
        <v>6.5000000000000002E-2</v>
      </c>
      <c r="K338" s="17">
        <v>57809.86</v>
      </c>
      <c r="L338" s="17">
        <v>54052.22</v>
      </c>
      <c r="M338" s="17">
        <v>386.31</v>
      </c>
      <c r="N338" s="17">
        <v>44425.24</v>
      </c>
      <c r="O338" s="17">
        <v>9626.98</v>
      </c>
      <c r="P338" s="18">
        <v>0.17810000000000001</v>
      </c>
      <c r="Q338" s="17">
        <v>1212.3800000000001</v>
      </c>
      <c r="R338" s="15" t="s">
        <v>40</v>
      </c>
    </row>
    <row r="339" spans="1:18" ht="14.25" customHeight="1" x14ac:dyDescent="0.3">
      <c r="A339" s="14">
        <v>45352</v>
      </c>
      <c r="B339" s="15">
        <v>2024</v>
      </c>
      <c r="C339" s="15" t="s">
        <v>39</v>
      </c>
      <c r="D339" s="15" t="s">
        <v>24</v>
      </c>
      <c r="E339" s="15" t="s">
        <v>31</v>
      </c>
      <c r="F339" s="15" t="s">
        <v>32</v>
      </c>
      <c r="G339" s="15" t="s">
        <v>22</v>
      </c>
      <c r="H339" s="16">
        <v>233</v>
      </c>
      <c r="I339" s="17">
        <v>507.75</v>
      </c>
      <c r="J339" s="18">
        <v>0.14499999999999999</v>
      </c>
      <c r="K339" s="17">
        <v>118305.89</v>
      </c>
      <c r="L339" s="17">
        <v>101151.54</v>
      </c>
      <c r="M339" s="17">
        <v>386.31</v>
      </c>
      <c r="N339" s="17">
        <v>90009.39</v>
      </c>
      <c r="O339" s="17">
        <v>11142.15</v>
      </c>
      <c r="P339" s="18">
        <v>0.11020000000000001</v>
      </c>
      <c r="Q339" s="17">
        <v>1183.8900000000001</v>
      </c>
      <c r="R339" s="15" t="s">
        <v>40</v>
      </c>
    </row>
    <row r="340" spans="1:18" ht="14.25" customHeight="1" x14ac:dyDescent="0.3">
      <c r="A340" s="14">
        <v>45352</v>
      </c>
      <c r="B340" s="15">
        <v>2024</v>
      </c>
      <c r="C340" s="15" t="s">
        <v>39</v>
      </c>
      <c r="D340" s="15" t="s">
        <v>27</v>
      </c>
      <c r="E340" s="15" t="s">
        <v>20</v>
      </c>
      <c r="F340" s="15" t="s">
        <v>21</v>
      </c>
      <c r="G340" s="15" t="s">
        <v>22</v>
      </c>
      <c r="H340" s="16">
        <v>213</v>
      </c>
      <c r="I340" s="17">
        <v>512.79999999999995</v>
      </c>
      <c r="J340" s="18">
        <v>0.11</v>
      </c>
      <c r="K340" s="17">
        <v>109226.16</v>
      </c>
      <c r="L340" s="17">
        <v>97211.28</v>
      </c>
      <c r="M340" s="17">
        <v>386.31</v>
      </c>
      <c r="N340" s="17">
        <v>82283.259999999995</v>
      </c>
      <c r="O340" s="17">
        <v>14928.02</v>
      </c>
      <c r="P340" s="18">
        <v>0.15359999999999999</v>
      </c>
      <c r="Q340" s="17">
        <v>1983.41</v>
      </c>
      <c r="R340" s="15" t="s">
        <v>40</v>
      </c>
    </row>
    <row r="341" spans="1:18" ht="14.25" customHeight="1" x14ac:dyDescent="0.3">
      <c r="A341" s="14">
        <v>45352</v>
      </c>
      <c r="B341" s="15">
        <v>2024</v>
      </c>
      <c r="C341" s="15" t="s">
        <v>39</v>
      </c>
      <c r="D341" s="15" t="s">
        <v>30</v>
      </c>
      <c r="E341" s="15" t="s">
        <v>25</v>
      </c>
      <c r="F341" s="15" t="s">
        <v>26</v>
      </c>
      <c r="G341" s="15" t="s">
        <v>22</v>
      </c>
      <c r="H341" s="16">
        <v>107</v>
      </c>
      <c r="I341" s="17">
        <v>497.65</v>
      </c>
      <c r="J341" s="18">
        <v>0.08</v>
      </c>
      <c r="K341" s="17">
        <v>53248.14</v>
      </c>
      <c r="L341" s="17">
        <v>48988.29</v>
      </c>
      <c r="M341" s="17">
        <v>386.31</v>
      </c>
      <c r="N341" s="17">
        <v>41334.78</v>
      </c>
      <c r="O341" s="17">
        <v>7653.5</v>
      </c>
      <c r="P341" s="18">
        <v>0.15620000000000001</v>
      </c>
      <c r="Q341" s="17">
        <v>1245.54</v>
      </c>
      <c r="R341" s="15" t="s">
        <v>40</v>
      </c>
    </row>
    <row r="342" spans="1:18" ht="14.25" customHeight="1" x14ac:dyDescent="0.3">
      <c r="A342" s="14">
        <v>45352</v>
      </c>
      <c r="B342" s="15">
        <v>2024</v>
      </c>
      <c r="C342" s="15" t="s">
        <v>39</v>
      </c>
      <c r="D342" s="15" t="s">
        <v>19</v>
      </c>
      <c r="E342" s="15" t="s">
        <v>31</v>
      </c>
      <c r="F342" s="15" t="s">
        <v>32</v>
      </c>
      <c r="G342" s="15" t="s">
        <v>33</v>
      </c>
      <c r="H342" s="16">
        <v>148</v>
      </c>
      <c r="I342" s="17">
        <v>713.5</v>
      </c>
      <c r="J342" s="18">
        <v>0.14499999999999999</v>
      </c>
      <c r="K342" s="17">
        <v>105598.67</v>
      </c>
      <c r="L342" s="17">
        <v>90286.86</v>
      </c>
      <c r="M342" s="17">
        <v>573.23</v>
      </c>
      <c r="N342" s="17">
        <v>84838.74</v>
      </c>
      <c r="O342" s="17">
        <v>5448.12</v>
      </c>
      <c r="P342" s="18">
        <v>6.0299999999999999E-2</v>
      </c>
      <c r="Q342" s="17">
        <v>1056.8499999999999</v>
      </c>
      <c r="R342" s="15" t="s">
        <v>40</v>
      </c>
    </row>
    <row r="343" spans="1:18" ht="14.25" customHeight="1" x14ac:dyDescent="0.3">
      <c r="A343" s="14">
        <v>45352</v>
      </c>
      <c r="B343" s="15">
        <v>2024</v>
      </c>
      <c r="C343" s="15" t="s">
        <v>39</v>
      </c>
      <c r="D343" s="15" t="s">
        <v>24</v>
      </c>
      <c r="E343" s="15" t="s">
        <v>20</v>
      </c>
      <c r="F343" s="15" t="s">
        <v>21</v>
      </c>
      <c r="G343" s="15" t="s">
        <v>33</v>
      </c>
      <c r="H343" s="16">
        <v>127</v>
      </c>
      <c r="I343" s="17">
        <v>720.68</v>
      </c>
      <c r="J343" s="18">
        <v>0.11</v>
      </c>
      <c r="K343" s="17">
        <v>91525.78</v>
      </c>
      <c r="L343" s="17">
        <v>81457.95</v>
      </c>
      <c r="M343" s="17">
        <v>573.23</v>
      </c>
      <c r="N343" s="17">
        <v>72800.81</v>
      </c>
      <c r="O343" s="17">
        <v>8657.14</v>
      </c>
      <c r="P343" s="18">
        <v>0.10630000000000001</v>
      </c>
      <c r="Q343" s="17">
        <v>1783.69</v>
      </c>
      <c r="R343" s="15" t="s">
        <v>40</v>
      </c>
    </row>
    <row r="344" spans="1:18" ht="14.25" customHeight="1" x14ac:dyDescent="0.3">
      <c r="A344" s="14">
        <v>45352</v>
      </c>
      <c r="B344" s="15">
        <v>2024</v>
      </c>
      <c r="C344" s="15" t="s">
        <v>39</v>
      </c>
      <c r="D344" s="15" t="s">
        <v>27</v>
      </c>
      <c r="E344" s="15" t="s">
        <v>25</v>
      </c>
      <c r="F344" s="15" t="s">
        <v>26</v>
      </c>
      <c r="G344" s="15" t="s">
        <v>33</v>
      </c>
      <c r="H344" s="16">
        <v>111</v>
      </c>
      <c r="I344" s="17">
        <v>727.85</v>
      </c>
      <c r="J344" s="18">
        <v>0.08</v>
      </c>
      <c r="K344" s="17">
        <v>80790.94</v>
      </c>
      <c r="L344" s="17">
        <v>74327.67</v>
      </c>
      <c r="M344" s="17">
        <v>573.23</v>
      </c>
      <c r="N344" s="17">
        <v>63629.06</v>
      </c>
      <c r="O344" s="17">
        <v>10698.61</v>
      </c>
      <c r="P344" s="18">
        <v>0.1439</v>
      </c>
      <c r="Q344" s="17">
        <v>1616.33</v>
      </c>
      <c r="R344" s="15" t="s">
        <v>40</v>
      </c>
    </row>
    <row r="345" spans="1:18" ht="14.25" customHeight="1" x14ac:dyDescent="0.3">
      <c r="A345" s="14">
        <v>45352</v>
      </c>
      <c r="B345" s="15">
        <v>2024</v>
      </c>
      <c r="C345" s="15" t="s">
        <v>39</v>
      </c>
      <c r="D345" s="15" t="s">
        <v>30</v>
      </c>
      <c r="E345" s="15" t="s">
        <v>28</v>
      </c>
      <c r="F345" s="15" t="s">
        <v>29</v>
      </c>
      <c r="G345" s="15" t="s">
        <v>33</v>
      </c>
      <c r="H345" s="16">
        <v>60</v>
      </c>
      <c r="I345" s="17">
        <v>706.33</v>
      </c>
      <c r="J345" s="18">
        <v>6.5000000000000002E-2</v>
      </c>
      <c r="K345" s="17">
        <v>42380.02</v>
      </c>
      <c r="L345" s="17">
        <v>39625.32</v>
      </c>
      <c r="M345" s="17">
        <v>573.23</v>
      </c>
      <c r="N345" s="17">
        <v>34394.080000000002</v>
      </c>
      <c r="O345" s="17">
        <v>5231.24</v>
      </c>
      <c r="P345" s="18">
        <v>0.13200000000000001</v>
      </c>
      <c r="Q345" s="17">
        <v>1065.67</v>
      </c>
      <c r="R345" s="15" t="s">
        <v>40</v>
      </c>
    </row>
    <row r="346" spans="1:18" ht="14.25" customHeight="1" x14ac:dyDescent="0.3">
      <c r="A346" s="14">
        <v>45352</v>
      </c>
      <c r="B346" s="15">
        <v>2024</v>
      </c>
      <c r="C346" s="15" t="s">
        <v>39</v>
      </c>
      <c r="D346" s="15" t="s">
        <v>19</v>
      </c>
      <c r="E346" s="15" t="s">
        <v>25</v>
      </c>
      <c r="F346" s="15" t="s">
        <v>21</v>
      </c>
      <c r="G346" s="15" t="s">
        <v>34</v>
      </c>
      <c r="H346" s="16">
        <v>189</v>
      </c>
      <c r="I346" s="17">
        <v>227.02</v>
      </c>
      <c r="J346" s="18">
        <v>0.08</v>
      </c>
      <c r="K346" s="17">
        <v>42906.82</v>
      </c>
      <c r="L346" s="17">
        <v>39474.269999999997</v>
      </c>
      <c r="M346" s="17">
        <v>157.85</v>
      </c>
      <c r="N346" s="17">
        <v>29833.13</v>
      </c>
      <c r="O346" s="17">
        <v>9641.14</v>
      </c>
      <c r="P346" s="18">
        <v>0.2442</v>
      </c>
      <c r="Q346" s="17">
        <v>1036.47</v>
      </c>
      <c r="R346" s="15" t="s">
        <v>40</v>
      </c>
    </row>
    <row r="347" spans="1:18" ht="14.25" customHeight="1" x14ac:dyDescent="0.3">
      <c r="A347" s="14">
        <v>45352</v>
      </c>
      <c r="B347" s="15">
        <v>2024</v>
      </c>
      <c r="C347" s="15" t="s">
        <v>39</v>
      </c>
      <c r="D347" s="15" t="s">
        <v>24</v>
      </c>
      <c r="E347" s="15" t="s">
        <v>31</v>
      </c>
      <c r="F347" s="15" t="s">
        <v>32</v>
      </c>
      <c r="G347" s="15" t="s">
        <v>34</v>
      </c>
      <c r="H347" s="16">
        <v>322</v>
      </c>
      <c r="I347" s="17">
        <v>229.3</v>
      </c>
      <c r="J347" s="18">
        <v>0.14499999999999999</v>
      </c>
      <c r="K347" s="17">
        <v>73835.199999999997</v>
      </c>
      <c r="L347" s="17">
        <v>63129.09</v>
      </c>
      <c r="M347" s="17">
        <v>157.85</v>
      </c>
      <c r="N347" s="17">
        <v>50826.81</v>
      </c>
      <c r="O347" s="17">
        <v>12302.28</v>
      </c>
      <c r="P347" s="18">
        <v>0.19489999999999999</v>
      </c>
      <c r="Q347" s="17">
        <v>822.83</v>
      </c>
      <c r="R347" s="15" t="s">
        <v>40</v>
      </c>
    </row>
    <row r="348" spans="1:18" ht="14.25" customHeight="1" x14ac:dyDescent="0.3">
      <c r="A348" s="14">
        <v>45352</v>
      </c>
      <c r="B348" s="15">
        <v>2024</v>
      </c>
      <c r="C348" s="15" t="s">
        <v>39</v>
      </c>
      <c r="D348" s="15" t="s">
        <v>27</v>
      </c>
      <c r="E348" s="15" t="s">
        <v>20</v>
      </c>
      <c r="F348" s="15" t="s">
        <v>21</v>
      </c>
      <c r="G348" s="15" t="s">
        <v>34</v>
      </c>
      <c r="H348" s="16">
        <v>290</v>
      </c>
      <c r="I348" s="17">
        <v>231.58</v>
      </c>
      <c r="J348" s="18">
        <v>0.11</v>
      </c>
      <c r="K348" s="17">
        <v>67159.22</v>
      </c>
      <c r="L348" s="17">
        <v>59771.7</v>
      </c>
      <c r="M348" s="17">
        <v>157.85</v>
      </c>
      <c r="N348" s="17">
        <v>45775.7</v>
      </c>
      <c r="O348" s="17">
        <v>13996</v>
      </c>
      <c r="P348" s="18">
        <v>0.23419999999999999</v>
      </c>
      <c r="Q348" s="17">
        <v>1393.18</v>
      </c>
      <c r="R348" s="15" t="s">
        <v>40</v>
      </c>
    </row>
    <row r="349" spans="1:18" ht="14.25" customHeight="1" x14ac:dyDescent="0.3">
      <c r="A349" s="14">
        <v>45352</v>
      </c>
      <c r="B349" s="15">
        <v>2024</v>
      </c>
      <c r="C349" s="15" t="s">
        <v>39</v>
      </c>
      <c r="D349" s="15" t="s">
        <v>30</v>
      </c>
      <c r="E349" s="15" t="s">
        <v>25</v>
      </c>
      <c r="F349" s="15" t="s">
        <v>26</v>
      </c>
      <c r="G349" s="15" t="s">
        <v>34</v>
      </c>
      <c r="H349" s="16">
        <v>158</v>
      </c>
      <c r="I349" s="17">
        <v>224.74</v>
      </c>
      <c r="J349" s="18">
        <v>0.08</v>
      </c>
      <c r="K349" s="17">
        <v>35508.69</v>
      </c>
      <c r="L349" s="17">
        <v>32668</v>
      </c>
      <c r="M349" s="17">
        <v>157.85</v>
      </c>
      <c r="N349" s="17">
        <v>24939.87</v>
      </c>
      <c r="O349" s="17">
        <v>7728.13</v>
      </c>
      <c r="P349" s="18">
        <v>0.2366</v>
      </c>
      <c r="Q349" s="17">
        <v>906.21</v>
      </c>
      <c r="R349" s="15" t="s">
        <v>40</v>
      </c>
    </row>
    <row r="350" spans="1:18" ht="14.25" customHeight="1" x14ac:dyDescent="0.3">
      <c r="A350" s="14">
        <v>45352</v>
      </c>
      <c r="B350" s="15">
        <v>2024</v>
      </c>
      <c r="C350" s="15" t="s">
        <v>39</v>
      </c>
      <c r="D350" s="15" t="s">
        <v>19</v>
      </c>
      <c r="E350" s="15" t="s">
        <v>31</v>
      </c>
      <c r="F350" s="15" t="s">
        <v>32</v>
      </c>
      <c r="G350" s="15" t="s">
        <v>35</v>
      </c>
      <c r="H350" s="16">
        <v>1101</v>
      </c>
      <c r="I350" s="17">
        <v>11.35</v>
      </c>
      <c r="J350" s="18">
        <v>0.14499999999999999</v>
      </c>
      <c r="K350" s="17">
        <v>12499.21</v>
      </c>
      <c r="L350" s="17">
        <v>10686.83</v>
      </c>
      <c r="M350" s="17">
        <v>5.82</v>
      </c>
      <c r="N350" s="17">
        <v>6407.16</v>
      </c>
      <c r="O350" s="17">
        <v>4279.67</v>
      </c>
      <c r="P350" s="18">
        <v>0.40050000000000002</v>
      </c>
      <c r="Q350" s="17">
        <v>374.79</v>
      </c>
      <c r="R350" s="15" t="s">
        <v>40</v>
      </c>
    </row>
    <row r="351" spans="1:18" ht="14.25" customHeight="1" x14ac:dyDescent="0.3">
      <c r="A351" s="14">
        <v>45352</v>
      </c>
      <c r="B351" s="15">
        <v>2024</v>
      </c>
      <c r="C351" s="15" t="s">
        <v>39</v>
      </c>
      <c r="D351" s="15" t="s">
        <v>24</v>
      </c>
      <c r="E351" s="15" t="s">
        <v>20</v>
      </c>
      <c r="F351" s="15" t="s">
        <v>21</v>
      </c>
      <c r="G351" s="15" t="s">
        <v>35</v>
      </c>
      <c r="H351" s="16">
        <v>974</v>
      </c>
      <c r="I351" s="17">
        <v>11.46</v>
      </c>
      <c r="J351" s="18">
        <v>0.11</v>
      </c>
      <c r="K351" s="17">
        <v>11165.84</v>
      </c>
      <c r="L351" s="17">
        <v>9937.6</v>
      </c>
      <c r="M351" s="17">
        <v>5.82</v>
      </c>
      <c r="N351" s="17">
        <v>5668.1</v>
      </c>
      <c r="O351" s="17">
        <v>4269.5</v>
      </c>
      <c r="P351" s="18">
        <v>0.42959999999999998</v>
      </c>
      <c r="Q351" s="17">
        <v>617.67999999999995</v>
      </c>
      <c r="R351" s="15" t="s">
        <v>40</v>
      </c>
    </row>
    <row r="352" spans="1:18" ht="14.25" customHeight="1" x14ac:dyDescent="0.3">
      <c r="A352" s="14">
        <v>45352</v>
      </c>
      <c r="B352" s="15">
        <v>2024</v>
      </c>
      <c r="C352" s="15" t="s">
        <v>39</v>
      </c>
      <c r="D352" s="15" t="s">
        <v>27</v>
      </c>
      <c r="E352" s="15" t="s">
        <v>25</v>
      </c>
      <c r="F352" s="15" t="s">
        <v>26</v>
      </c>
      <c r="G352" s="15" t="s">
        <v>35</v>
      </c>
      <c r="H352" s="16">
        <v>891</v>
      </c>
      <c r="I352" s="17">
        <v>11.58</v>
      </c>
      <c r="J352" s="18">
        <v>0.08</v>
      </c>
      <c r="K352" s="17">
        <v>10320.59</v>
      </c>
      <c r="L352" s="17">
        <v>9494.94</v>
      </c>
      <c r="M352" s="17">
        <v>5.82</v>
      </c>
      <c r="N352" s="17">
        <v>5185.09</v>
      </c>
      <c r="O352" s="17">
        <v>4309.8500000000004</v>
      </c>
      <c r="P352" s="18">
        <v>0.45390000000000003</v>
      </c>
      <c r="Q352" s="17">
        <v>558.59</v>
      </c>
      <c r="R352" s="15" t="s">
        <v>40</v>
      </c>
    </row>
    <row r="353" spans="1:18" ht="14.25" customHeight="1" x14ac:dyDescent="0.3">
      <c r="A353" s="14">
        <v>45352</v>
      </c>
      <c r="B353" s="15">
        <v>2024</v>
      </c>
      <c r="C353" s="15" t="s">
        <v>39</v>
      </c>
      <c r="D353" s="15" t="s">
        <v>30</v>
      </c>
      <c r="E353" s="15" t="s">
        <v>31</v>
      </c>
      <c r="F353" s="15" t="s">
        <v>32</v>
      </c>
      <c r="G353" s="15" t="s">
        <v>35</v>
      </c>
      <c r="H353" s="16">
        <v>877</v>
      </c>
      <c r="I353" s="17">
        <v>11.23</v>
      </c>
      <c r="J353" s="18">
        <v>0.14499999999999999</v>
      </c>
      <c r="K353" s="17">
        <v>9851.65</v>
      </c>
      <c r="L353" s="17">
        <v>8423.16</v>
      </c>
      <c r="M353" s="17">
        <v>5.82</v>
      </c>
      <c r="N353" s="17">
        <v>5103.6099999999997</v>
      </c>
      <c r="O353" s="17">
        <v>3319.55</v>
      </c>
      <c r="P353" s="18">
        <v>0.39410000000000001</v>
      </c>
      <c r="Q353" s="17">
        <v>307.82</v>
      </c>
      <c r="R353" s="15" t="s">
        <v>40</v>
      </c>
    </row>
    <row r="354" spans="1:18" ht="14.25" customHeight="1" x14ac:dyDescent="0.3">
      <c r="A354" s="14">
        <v>45352</v>
      </c>
      <c r="B354" s="15">
        <v>2024</v>
      </c>
      <c r="C354" s="15" t="s">
        <v>39</v>
      </c>
      <c r="D354" s="15" t="s">
        <v>19</v>
      </c>
      <c r="E354" s="15" t="s">
        <v>20</v>
      </c>
      <c r="F354" s="15" t="s">
        <v>21</v>
      </c>
      <c r="G354" s="15" t="s">
        <v>36</v>
      </c>
      <c r="H354" s="16">
        <v>301</v>
      </c>
      <c r="I354" s="17">
        <v>68.92</v>
      </c>
      <c r="J354" s="18">
        <v>9.5000000000000001E-2</v>
      </c>
      <c r="K354" s="17">
        <v>20744.48</v>
      </c>
      <c r="L354" s="17">
        <v>18773.759999999998</v>
      </c>
      <c r="M354" s="17">
        <v>14.95</v>
      </c>
      <c r="N354" s="17">
        <v>4501.1400000000003</v>
      </c>
      <c r="O354" s="17">
        <v>14272.62</v>
      </c>
      <c r="P354" s="18">
        <v>0.76019999999999999</v>
      </c>
      <c r="Q354" s="17">
        <v>810.51</v>
      </c>
      <c r="R354" s="15" t="s">
        <v>40</v>
      </c>
    </row>
    <row r="355" spans="1:18" ht="14.25" customHeight="1" x14ac:dyDescent="0.3">
      <c r="A355" s="14">
        <v>45352</v>
      </c>
      <c r="B355" s="15">
        <v>2024</v>
      </c>
      <c r="C355" s="15" t="s">
        <v>39</v>
      </c>
      <c r="D355" s="15" t="s">
        <v>24</v>
      </c>
      <c r="E355" s="15" t="s">
        <v>28</v>
      </c>
      <c r="F355" s="15" t="s">
        <v>32</v>
      </c>
      <c r="G355" s="15" t="s">
        <v>36</v>
      </c>
      <c r="H355" s="16">
        <v>220</v>
      </c>
      <c r="I355" s="17">
        <v>69.61</v>
      </c>
      <c r="J355" s="18">
        <v>0.05</v>
      </c>
      <c r="K355" s="17">
        <v>15314.24</v>
      </c>
      <c r="L355" s="17">
        <v>14548.53</v>
      </c>
      <c r="M355" s="17">
        <v>14.95</v>
      </c>
      <c r="N355" s="17">
        <v>3289.87</v>
      </c>
      <c r="O355" s="17">
        <v>11258.66</v>
      </c>
      <c r="P355" s="18">
        <v>0.77390000000000003</v>
      </c>
      <c r="Q355" s="17">
        <v>643.95000000000005</v>
      </c>
      <c r="R355" s="15" t="s">
        <v>40</v>
      </c>
    </row>
    <row r="356" spans="1:18" ht="14.25" customHeight="1" x14ac:dyDescent="0.3">
      <c r="A356" s="14">
        <v>45352</v>
      </c>
      <c r="B356" s="15">
        <v>2024</v>
      </c>
      <c r="C356" s="15" t="s">
        <v>39</v>
      </c>
      <c r="D356" s="15" t="s">
        <v>27</v>
      </c>
      <c r="E356" s="15" t="s">
        <v>31</v>
      </c>
      <c r="F356" s="15" t="s">
        <v>32</v>
      </c>
      <c r="G356" s="15" t="s">
        <v>36</v>
      </c>
      <c r="H356" s="16">
        <v>436</v>
      </c>
      <c r="I356" s="17">
        <v>70.3</v>
      </c>
      <c r="J356" s="18">
        <v>0.13</v>
      </c>
      <c r="K356" s="17">
        <v>30651.61</v>
      </c>
      <c r="L356" s="17">
        <v>26666.9</v>
      </c>
      <c r="M356" s="17">
        <v>14.95</v>
      </c>
      <c r="N356" s="17">
        <v>6519.92</v>
      </c>
      <c r="O356" s="17">
        <v>20146.98</v>
      </c>
      <c r="P356" s="18">
        <v>0.75549999999999995</v>
      </c>
      <c r="Q356" s="17">
        <v>568.39</v>
      </c>
      <c r="R356" s="15" t="s">
        <v>40</v>
      </c>
    </row>
    <row r="357" spans="1:18" ht="14.25" customHeight="1" x14ac:dyDescent="0.3">
      <c r="A357" s="14">
        <v>45352</v>
      </c>
      <c r="B357" s="15">
        <v>2024</v>
      </c>
      <c r="C357" s="15" t="s">
        <v>39</v>
      </c>
      <c r="D357" s="15" t="s">
        <v>30</v>
      </c>
      <c r="E357" s="15" t="s">
        <v>20</v>
      </c>
      <c r="F357" s="15" t="s">
        <v>26</v>
      </c>
      <c r="G357" s="15" t="s">
        <v>36</v>
      </c>
      <c r="H357" s="16">
        <v>250</v>
      </c>
      <c r="I357" s="17">
        <v>68.23</v>
      </c>
      <c r="J357" s="18">
        <v>9.5000000000000001E-2</v>
      </c>
      <c r="K357" s="17">
        <v>17056.73</v>
      </c>
      <c r="L357" s="17">
        <v>15436.34</v>
      </c>
      <c r="M357" s="17">
        <v>14.95</v>
      </c>
      <c r="N357" s="17">
        <v>3738.49</v>
      </c>
      <c r="O357" s="17">
        <v>11697.85</v>
      </c>
      <c r="P357" s="18">
        <v>0.75780000000000003</v>
      </c>
      <c r="Q357" s="17">
        <v>735.98</v>
      </c>
      <c r="R357" s="15" t="s">
        <v>40</v>
      </c>
    </row>
    <row r="358" spans="1:18" ht="14.25" customHeight="1" x14ac:dyDescent="0.3">
      <c r="A358" s="14">
        <v>45352</v>
      </c>
      <c r="B358" s="15">
        <v>2024</v>
      </c>
      <c r="C358" s="15" t="s">
        <v>39</v>
      </c>
      <c r="D358" s="15" t="s">
        <v>19</v>
      </c>
      <c r="E358" s="15" t="s">
        <v>25</v>
      </c>
      <c r="F358" s="15" t="s">
        <v>26</v>
      </c>
      <c r="G358" s="15" t="s">
        <v>37</v>
      </c>
      <c r="H358" s="16">
        <v>231</v>
      </c>
      <c r="I358" s="17">
        <v>52.7</v>
      </c>
      <c r="J358" s="18">
        <v>6.5000000000000002E-2</v>
      </c>
      <c r="K358" s="17">
        <v>12173.83</v>
      </c>
      <c r="L358" s="17">
        <v>11382.53</v>
      </c>
      <c r="M358" s="17">
        <v>7.47</v>
      </c>
      <c r="N358" s="17">
        <v>1726.26</v>
      </c>
      <c r="O358" s="17">
        <v>9656.27</v>
      </c>
      <c r="P358" s="18">
        <v>0.84830000000000005</v>
      </c>
      <c r="Q358" s="17">
        <v>429.32</v>
      </c>
      <c r="R358" s="15" t="s">
        <v>40</v>
      </c>
    </row>
    <row r="359" spans="1:18" ht="14.25" customHeight="1" x14ac:dyDescent="0.3">
      <c r="A359" s="14">
        <v>45352</v>
      </c>
      <c r="B359" s="15">
        <v>2024</v>
      </c>
      <c r="C359" s="15" t="s">
        <v>39</v>
      </c>
      <c r="D359" s="15" t="s">
        <v>24</v>
      </c>
      <c r="E359" s="15" t="s">
        <v>28</v>
      </c>
      <c r="F359" s="15" t="s">
        <v>29</v>
      </c>
      <c r="G359" s="15" t="s">
        <v>37</v>
      </c>
      <c r="H359" s="16">
        <v>182</v>
      </c>
      <c r="I359" s="17">
        <v>53.23</v>
      </c>
      <c r="J359" s="18">
        <v>0.05</v>
      </c>
      <c r="K359" s="17">
        <v>9688.44</v>
      </c>
      <c r="L359" s="17">
        <v>9204.02</v>
      </c>
      <c r="M359" s="17">
        <v>7.47</v>
      </c>
      <c r="N359" s="17">
        <v>1360.09</v>
      </c>
      <c r="O359" s="17">
        <v>7843.93</v>
      </c>
      <c r="P359" s="18">
        <v>0.85219999999999996</v>
      </c>
      <c r="Q359" s="17">
        <v>380.87</v>
      </c>
      <c r="R359" s="15" t="s">
        <v>40</v>
      </c>
    </row>
    <row r="360" spans="1:18" ht="14.25" customHeight="1" x14ac:dyDescent="0.3">
      <c r="A360" s="14">
        <v>45352</v>
      </c>
      <c r="B360" s="15">
        <v>2024</v>
      </c>
      <c r="C360" s="15" t="s">
        <v>39</v>
      </c>
      <c r="D360" s="15" t="s">
        <v>27</v>
      </c>
      <c r="E360" s="15" t="s">
        <v>20</v>
      </c>
      <c r="F360" s="15" t="s">
        <v>26</v>
      </c>
      <c r="G360" s="15" t="s">
        <v>37</v>
      </c>
      <c r="H360" s="16">
        <v>301</v>
      </c>
      <c r="I360" s="17">
        <v>53.76</v>
      </c>
      <c r="J360" s="18">
        <v>9.5000000000000001E-2</v>
      </c>
      <c r="K360" s="17">
        <v>16181.13</v>
      </c>
      <c r="L360" s="17">
        <v>14643.92</v>
      </c>
      <c r="M360" s="17">
        <v>7.47</v>
      </c>
      <c r="N360" s="17">
        <v>2249.37</v>
      </c>
      <c r="O360" s="17">
        <v>12394.55</v>
      </c>
      <c r="P360" s="18">
        <v>0.84640000000000004</v>
      </c>
      <c r="Q360" s="17">
        <v>564.28</v>
      </c>
      <c r="R360" s="15" t="s">
        <v>40</v>
      </c>
    </row>
    <row r="361" spans="1:18" ht="14.25" customHeight="1" x14ac:dyDescent="0.3">
      <c r="A361" s="14">
        <v>45352</v>
      </c>
      <c r="B361" s="15">
        <v>2024</v>
      </c>
      <c r="C361" s="15" t="s">
        <v>39</v>
      </c>
      <c r="D361" s="15" t="s">
        <v>30</v>
      </c>
      <c r="E361" s="15" t="s">
        <v>25</v>
      </c>
      <c r="F361" s="15" t="s">
        <v>21</v>
      </c>
      <c r="G361" s="15" t="s">
        <v>37</v>
      </c>
      <c r="H361" s="16">
        <v>168</v>
      </c>
      <c r="I361" s="17">
        <v>52.18</v>
      </c>
      <c r="J361" s="18">
        <v>6.5000000000000002E-2</v>
      </c>
      <c r="K361" s="17">
        <v>8765.5400000000009</v>
      </c>
      <c r="L361" s="17">
        <v>8195.7800000000007</v>
      </c>
      <c r="M361" s="17">
        <v>7.47</v>
      </c>
      <c r="N361" s="17">
        <v>1255.46</v>
      </c>
      <c r="O361" s="17">
        <v>6940.32</v>
      </c>
      <c r="P361" s="18">
        <v>0.8468</v>
      </c>
      <c r="Q361" s="17">
        <v>370.24</v>
      </c>
      <c r="R361" s="15" t="s">
        <v>40</v>
      </c>
    </row>
    <row r="362" spans="1:18" ht="14.25" customHeight="1" x14ac:dyDescent="0.3">
      <c r="A362" s="14">
        <v>45383</v>
      </c>
      <c r="B362" s="15">
        <v>2024</v>
      </c>
      <c r="C362" s="15" t="s">
        <v>41</v>
      </c>
      <c r="D362" s="15" t="s">
        <v>19</v>
      </c>
      <c r="E362" s="15" t="s">
        <v>31</v>
      </c>
      <c r="F362" s="15" t="s">
        <v>32</v>
      </c>
      <c r="G362" s="15" t="s">
        <v>22</v>
      </c>
      <c r="H362" s="16">
        <v>160</v>
      </c>
      <c r="I362" s="17">
        <v>502.69</v>
      </c>
      <c r="J362" s="18">
        <v>0.12</v>
      </c>
      <c r="K362" s="17">
        <v>80431.100000000006</v>
      </c>
      <c r="L362" s="17">
        <v>70779.37</v>
      </c>
      <c r="M362" s="17">
        <v>386.31</v>
      </c>
      <c r="N362" s="17">
        <v>61809.02</v>
      </c>
      <c r="O362" s="17">
        <v>8970.35</v>
      </c>
      <c r="P362" s="18">
        <v>0.12670000000000001</v>
      </c>
      <c r="Q362" s="17">
        <v>766.24</v>
      </c>
      <c r="R362" s="15" t="s">
        <v>23</v>
      </c>
    </row>
    <row r="363" spans="1:18" ht="14.25" customHeight="1" x14ac:dyDescent="0.3">
      <c r="A363" s="14">
        <v>45383</v>
      </c>
      <c r="B363" s="15">
        <v>2024</v>
      </c>
      <c r="C363" s="15" t="s">
        <v>41</v>
      </c>
      <c r="D363" s="15" t="s">
        <v>24</v>
      </c>
      <c r="E363" s="15" t="s">
        <v>20</v>
      </c>
      <c r="F363" s="15" t="s">
        <v>21</v>
      </c>
      <c r="G363" s="15" t="s">
        <v>22</v>
      </c>
      <c r="H363" s="16">
        <v>173</v>
      </c>
      <c r="I363" s="17">
        <v>507.75</v>
      </c>
      <c r="J363" s="18">
        <v>8.5000000000000006E-2</v>
      </c>
      <c r="K363" s="17">
        <v>87840.85</v>
      </c>
      <c r="L363" s="17">
        <v>80374.38</v>
      </c>
      <c r="M363" s="17">
        <v>386.31</v>
      </c>
      <c r="N363" s="17">
        <v>66831.009999999995</v>
      </c>
      <c r="O363" s="17">
        <v>13543.37</v>
      </c>
      <c r="P363" s="18">
        <v>0.16850000000000001</v>
      </c>
      <c r="Q363" s="17">
        <v>1263.1500000000001</v>
      </c>
      <c r="R363" s="15" t="s">
        <v>23</v>
      </c>
    </row>
    <row r="364" spans="1:18" ht="14.25" customHeight="1" x14ac:dyDescent="0.3">
      <c r="A364" s="14">
        <v>45383</v>
      </c>
      <c r="B364" s="15">
        <v>2024</v>
      </c>
      <c r="C364" s="15" t="s">
        <v>41</v>
      </c>
      <c r="D364" s="15" t="s">
        <v>27</v>
      </c>
      <c r="E364" s="15" t="s">
        <v>25</v>
      </c>
      <c r="F364" s="15" t="s">
        <v>26</v>
      </c>
      <c r="G364" s="15" t="s">
        <v>22</v>
      </c>
      <c r="H364" s="16">
        <v>156</v>
      </c>
      <c r="I364" s="17">
        <v>512.79999999999995</v>
      </c>
      <c r="J364" s="18">
        <v>5.5E-2</v>
      </c>
      <c r="K364" s="17">
        <v>79996.62</v>
      </c>
      <c r="L364" s="17">
        <v>75596.800000000003</v>
      </c>
      <c r="M364" s="17">
        <v>386.31</v>
      </c>
      <c r="N364" s="17">
        <v>60263.8</v>
      </c>
      <c r="O364" s="17">
        <v>15333.01</v>
      </c>
      <c r="P364" s="18">
        <v>0.20280000000000001</v>
      </c>
      <c r="Q364" s="17">
        <v>1147.57</v>
      </c>
      <c r="R364" s="15" t="s">
        <v>23</v>
      </c>
    </row>
    <row r="365" spans="1:18" ht="14.25" customHeight="1" x14ac:dyDescent="0.3">
      <c r="A365" s="14">
        <v>45383</v>
      </c>
      <c r="B365" s="15">
        <v>2024</v>
      </c>
      <c r="C365" s="15" t="s">
        <v>41</v>
      </c>
      <c r="D365" s="15" t="s">
        <v>30</v>
      </c>
      <c r="E365" s="15" t="s">
        <v>28</v>
      </c>
      <c r="F365" s="15" t="s">
        <v>29</v>
      </c>
      <c r="G365" s="15" t="s">
        <v>22</v>
      </c>
      <c r="H365" s="16">
        <v>70</v>
      </c>
      <c r="I365" s="17">
        <v>497.65</v>
      </c>
      <c r="J365" s="18">
        <v>0.04</v>
      </c>
      <c r="K365" s="17">
        <v>34835.230000000003</v>
      </c>
      <c r="L365" s="17">
        <v>33441.82</v>
      </c>
      <c r="M365" s="17">
        <v>386.31</v>
      </c>
      <c r="N365" s="17">
        <v>27041.45</v>
      </c>
      <c r="O365" s="17">
        <v>6400.37</v>
      </c>
      <c r="P365" s="18">
        <v>0.19139999999999999</v>
      </c>
      <c r="Q365" s="17">
        <v>723.37</v>
      </c>
      <c r="R365" s="15" t="s">
        <v>23</v>
      </c>
    </row>
    <row r="366" spans="1:18" ht="14.25" customHeight="1" x14ac:dyDescent="0.3">
      <c r="A366" s="14">
        <v>45383</v>
      </c>
      <c r="B366" s="15">
        <v>2024</v>
      </c>
      <c r="C366" s="15" t="s">
        <v>41</v>
      </c>
      <c r="D366" s="15" t="s">
        <v>19</v>
      </c>
      <c r="E366" s="15" t="s">
        <v>20</v>
      </c>
      <c r="F366" s="15" t="s">
        <v>21</v>
      </c>
      <c r="G366" s="15" t="s">
        <v>33</v>
      </c>
      <c r="H366" s="16">
        <v>99</v>
      </c>
      <c r="I366" s="17">
        <v>713.5</v>
      </c>
      <c r="J366" s="18">
        <v>8.5000000000000006E-2</v>
      </c>
      <c r="K366" s="17">
        <v>70636.95</v>
      </c>
      <c r="L366" s="17">
        <v>64632.81</v>
      </c>
      <c r="M366" s="17">
        <v>573.23</v>
      </c>
      <c r="N366" s="17">
        <v>56750.239999999998</v>
      </c>
      <c r="O366" s="17">
        <v>7882.57</v>
      </c>
      <c r="P366" s="18">
        <v>0.122</v>
      </c>
      <c r="Q366" s="17">
        <v>1186.42</v>
      </c>
      <c r="R366" s="15" t="s">
        <v>23</v>
      </c>
    </row>
    <row r="367" spans="1:18" ht="14.25" customHeight="1" x14ac:dyDescent="0.3">
      <c r="A367" s="14">
        <v>45383</v>
      </c>
      <c r="B367" s="15">
        <v>2024</v>
      </c>
      <c r="C367" s="15" t="s">
        <v>41</v>
      </c>
      <c r="D367" s="15" t="s">
        <v>24</v>
      </c>
      <c r="E367" s="15" t="s">
        <v>25</v>
      </c>
      <c r="F367" s="15" t="s">
        <v>26</v>
      </c>
      <c r="G367" s="15" t="s">
        <v>33</v>
      </c>
      <c r="H367" s="16">
        <v>94</v>
      </c>
      <c r="I367" s="17">
        <v>720.68</v>
      </c>
      <c r="J367" s="18">
        <v>5.5E-2</v>
      </c>
      <c r="K367" s="17">
        <v>67743.490000000005</v>
      </c>
      <c r="L367" s="17">
        <v>64017.599999999999</v>
      </c>
      <c r="M367" s="17">
        <v>573.23</v>
      </c>
      <c r="N367" s="17">
        <v>53884.07</v>
      </c>
      <c r="O367" s="17">
        <v>10133.530000000001</v>
      </c>
      <c r="P367" s="18">
        <v>0.1583</v>
      </c>
      <c r="Q367" s="17">
        <v>1076.96</v>
      </c>
      <c r="R367" s="15" t="s">
        <v>23</v>
      </c>
    </row>
    <row r="368" spans="1:18" ht="14.25" customHeight="1" x14ac:dyDescent="0.3">
      <c r="A368" s="14">
        <v>45383</v>
      </c>
      <c r="B368" s="15">
        <v>2024</v>
      </c>
      <c r="C368" s="15" t="s">
        <v>41</v>
      </c>
      <c r="D368" s="15" t="s">
        <v>27</v>
      </c>
      <c r="E368" s="15" t="s">
        <v>28</v>
      </c>
      <c r="F368" s="15" t="s">
        <v>29</v>
      </c>
      <c r="G368" s="15" t="s">
        <v>33</v>
      </c>
      <c r="H368" s="16">
        <v>75</v>
      </c>
      <c r="I368" s="17">
        <v>727.85</v>
      </c>
      <c r="J368" s="18">
        <v>0.04</v>
      </c>
      <c r="K368" s="17">
        <v>54588.480000000003</v>
      </c>
      <c r="L368" s="17">
        <v>52404.94</v>
      </c>
      <c r="M368" s="17">
        <v>573.23</v>
      </c>
      <c r="N368" s="17">
        <v>42992.61</v>
      </c>
      <c r="O368" s="17">
        <v>9412.33</v>
      </c>
      <c r="P368" s="18">
        <v>0.17960000000000001</v>
      </c>
      <c r="Q368" s="17">
        <v>914.05</v>
      </c>
      <c r="R368" s="15" t="s">
        <v>23</v>
      </c>
    </row>
    <row r="369" spans="1:18" ht="14.25" customHeight="1" x14ac:dyDescent="0.3">
      <c r="A369" s="14">
        <v>45383</v>
      </c>
      <c r="B369" s="15">
        <v>2024</v>
      </c>
      <c r="C369" s="15" t="s">
        <v>41</v>
      </c>
      <c r="D369" s="15" t="s">
        <v>30</v>
      </c>
      <c r="E369" s="15" t="s">
        <v>31</v>
      </c>
      <c r="F369" s="15" t="s">
        <v>32</v>
      </c>
      <c r="G369" s="15" t="s">
        <v>33</v>
      </c>
      <c r="H369" s="16">
        <v>92</v>
      </c>
      <c r="I369" s="17">
        <v>706.33</v>
      </c>
      <c r="J369" s="18">
        <v>0.12</v>
      </c>
      <c r="K369" s="17">
        <v>64982.7</v>
      </c>
      <c r="L369" s="17">
        <v>57184.77</v>
      </c>
      <c r="M369" s="17">
        <v>573.23</v>
      </c>
      <c r="N369" s="17">
        <v>52737.599999999999</v>
      </c>
      <c r="O369" s="17">
        <v>4447.17</v>
      </c>
      <c r="P369" s="18">
        <v>7.7799999999999994E-2</v>
      </c>
      <c r="Q369" s="17">
        <v>657.27</v>
      </c>
      <c r="R369" s="15" t="s">
        <v>23</v>
      </c>
    </row>
    <row r="370" spans="1:18" ht="14.25" customHeight="1" x14ac:dyDescent="0.3">
      <c r="A370" s="14">
        <v>45383</v>
      </c>
      <c r="B370" s="15">
        <v>2024</v>
      </c>
      <c r="C370" s="15" t="s">
        <v>41</v>
      </c>
      <c r="D370" s="15" t="s">
        <v>19</v>
      </c>
      <c r="E370" s="15" t="s">
        <v>31</v>
      </c>
      <c r="F370" s="15" t="s">
        <v>32</v>
      </c>
      <c r="G370" s="15" t="s">
        <v>34</v>
      </c>
      <c r="H370" s="16">
        <v>230</v>
      </c>
      <c r="I370" s="17">
        <v>227.02</v>
      </c>
      <c r="J370" s="18">
        <v>0.12</v>
      </c>
      <c r="K370" s="17">
        <v>52214.65</v>
      </c>
      <c r="L370" s="17">
        <v>45948.89</v>
      </c>
      <c r="M370" s="17">
        <v>157.85</v>
      </c>
      <c r="N370" s="17">
        <v>36304.870000000003</v>
      </c>
      <c r="O370" s="17">
        <v>9644.02</v>
      </c>
      <c r="P370" s="18">
        <v>0.2099</v>
      </c>
      <c r="Q370" s="17">
        <v>502.99</v>
      </c>
      <c r="R370" s="15" t="s">
        <v>23</v>
      </c>
    </row>
    <row r="371" spans="1:18" ht="14.25" customHeight="1" x14ac:dyDescent="0.3">
      <c r="A371" s="14">
        <v>45383</v>
      </c>
      <c r="B371" s="15">
        <v>2024</v>
      </c>
      <c r="C371" s="15" t="s">
        <v>41</v>
      </c>
      <c r="D371" s="15" t="s">
        <v>24</v>
      </c>
      <c r="E371" s="15" t="s">
        <v>20</v>
      </c>
      <c r="F371" s="15" t="s">
        <v>21</v>
      </c>
      <c r="G371" s="15" t="s">
        <v>34</v>
      </c>
      <c r="H371" s="16">
        <v>224</v>
      </c>
      <c r="I371" s="17">
        <v>229.3</v>
      </c>
      <c r="J371" s="18">
        <v>8.5000000000000006E-2</v>
      </c>
      <c r="K371" s="17">
        <v>51363.61</v>
      </c>
      <c r="L371" s="17">
        <v>46997.7</v>
      </c>
      <c r="M371" s="17">
        <v>157.85</v>
      </c>
      <c r="N371" s="17">
        <v>35357.78</v>
      </c>
      <c r="O371" s="17">
        <v>11639.92</v>
      </c>
      <c r="P371" s="18">
        <v>0.2477</v>
      </c>
      <c r="Q371" s="17">
        <v>871.78</v>
      </c>
      <c r="R371" s="15" t="s">
        <v>23</v>
      </c>
    </row>
    <row r="372" spans="1:18" ht="14.25" customHeight="1" x14ac:dyDescent="0.3">
      <c r="A372" s="14">
        <v>45383</v>
      </c>
      <c r="B372" s="15">
        <v>2024</v>
      </c>
      <c r="C372" s="15" t="s">
        <v>41</v>
      </c>
      <c r="D372" s="15" t="s">
        <v>27</v>
      </c>
      <c r="E372" s="15" t="s">
        <v>25</v>
      </c>
      <c r="F372" s="15" t="s">
        <v>26</v>
      </c>
      <c r="G372" s="15" t="s">
        <v>34</v>
      </c>
      <c r="H372" s="16">
        <v>207</v>
      </c>
      <c r="I372" s="17">
        <v>231.58</v>
      </c>
      <c r="J372" s="18">
        <v>5.5E-2</v>
      </c>
      <c r="K372" s="17">
        <v>47937.78</v>
      </c>
      <c r="L372" s="17">
        <v>45301.21</v>
      </c>
      <c r="M372" s="17">
        <v>157.85</v>
      </c>
      <c r="N372" s="17">
        <v>32674.38</v>
      </c>
      <c r="O372" s="17">
        <v>12626.83</v>
      </c>
      <c r="P372" s="18">
        <v>0.2787</v>
      </c>
      <c r="Q372" s="17">
        <v>798.74</v>
      </c>
      <c r="R372" s="15" t="s">
        <v>23</v>
      </c>
    </row>
    <row r="373" spans="1:18" ht="14.25" customHeight="1" x14ac:dyDescent="0.3">
      <c r="A373" s="14">
        <v>45383</v>
      </c>
      <c r="B373" s="15">
        <v>2024</v>
      </c>
      <c r="C373" s="15" t="s">
        <v>41</v>
      </c>
      <c r="D373" s="15" t="s">
        <v>30</v>
      </c>
      <c r="E373" s="15" t="s">
        <v>31</v>
      </c>
      <c r="F373" s="15" t="s">
        <v>32</v>
      </c>
      <c r="G373" s="15" t="s">
        <v>34</v>
      </c>
      <c r="H373" s="16">
        <v>176</v>
      </c>
      <c r="I373" s="17">
        <v>224.74</v>
      </c>
      <c r="J373" s="18">
        <v>0.12</v>
      </c>
      <c r="K373" s="17">
        <v>39553.980000000003</v>
      </c>
      <c r="L373" s="17">
        <v>34807.51</v>
      </c>
      <c r="M373" s="17">
        <v>157.85</v>
      </c>
      <c r="N373" s="17">
        <v>27781.119999999999</v>
      </c>
      <c r="O373" s="17">
        <v>7026.39</v>
      </c>
      <c r="P373" s="18">
        <v>0.2019</v>
      </c>
      <c r="Q373" s="17">
        <v>464.68</v>
      </c>
      <c r="R373" s="15" t="s">
        <v>23</v>
      </c>
    </row>
    <row r="374" spans="1:18" ht="14.25" customHeight="1" x14ac:dyDescent="0.3">
      <c r="A374" s="14">
        <v>45383</v>
      </c>
      <c r="B374" s="15">
        <v>2024</v>
      </c>
      <c r="C374" s="15" t="s">
        <v>41</v>
      </c>
      <c r="D374" s="15" t="s">
        <v>19</v>
      </c>
      <c r="E374" s="15" t="s">
        <v>20</v>
      </c>
      <c r="F374" s="15" t="s">
        <v>21</v>
      </c>
      <c r="G374" s="15" t="s">
        <v>35</v>
      </c>
      <c r="H374" s="16">
        <v>761</v>
      </c>
      <c r="I374" s="17">
        <v>11.35</v>
      </c>
      <c r="J374" s="18">
        <v>8.5000000000000006E-2</v>
      </c>
      <c r="K374" s="17">
        <v>8639.33</v>
      </c>
      <c r="L374" s="17">
        <v>7904.99</v>
      </c>
      <c r="M374" s="17">
        <v>5.82</v>
      </c>
      <c r="N374" s="17">
        <v>4428.5600000000004</v>
      </c>
      <c r="O374" s="17">
        <v>3476.42</v>
      </c>
      <c r="P374" s="18">
        <v>0.43980000000000002</v>
      </c>
      <c r="Q374" s="17">
        <v>401.33</v>
      </c>
      <c r="R374" s="15" t="s">
        <v>23</v>
      </c>
    </row>
    <row r="375" spans="1:18" ht="14.25" customHeight="1" x14ac:dyDescent="0.3">
      <c r="A375" s="14">
        <v>45383</v>
      </c>
      <c r="B375" s="15">
        <v>2024</v>
      </c>
      <c r="C375" s="15" t="s">
        <v>41</v>
      </c>
      <c r="D375" s="15" t="s">
        <v>24</v>
      </c>
      <c r="E375" s="15" t="s">
        <v>25</v>
      </c>
      <c r="F375" s="15" t="s">
        <v>26</v>
      </c>
      <c r="G375" s="15" t="s">
        <v>35</v>
      </c>
      <c r="H375" s="16">
        <v>728</v>
      </c>
      <c r="I375" s="17">
        <v>11.46</v>
      </c>
      <c r="J375" s="18">
        <v>5.5E-2</v>
      </c>
      <c r="K375" s="17">
        <v>8345.7199999999993</v>
      </c>
      <c r="L375" s="17">
        <v>7886.7</v>
      </c>
      <c r="M375" s="17">
        <v>5.82</v>
      </c>
      <c r="N375" s="17">
        <v>4236.5200000000004</v>
      </c>
      <c r="O375" s="17">
        <v>3650.18</v>
      </c>
      <c r="P375" s="18">
        <v>0.46279999999999999</v>
      </c>
      <c r="Q375" s="17">
        <v>356.11</v>
      </c>
      <c r="R375" s="15" t="s">
        <v>23</v>
      </c>
    </row>
    <row r="376" spans="1:18" ht="14.25" customHeight="1" x14ac:dyDescent="0.3">
      <c r="A376" s="14">
        <v>45383</v>
      </c>
      <c r="B376" s="15">
        <v>2024</v>
      </c>
      <c r="C376" s="15" t="s">
        <v>41</v>
      </c>
      <c r="D376" s="15" t="s">
        <v>27</v>
      </c>
      <c r="E376" s="15" t="s">
        <v>31</v>
      </c>
      <c r="F376" s="15" t="s">
        <v>32</v>
      </c>
      <c r="G376" s="15" t="s">
        <v>35</v>
      </c>
      <c r="H376" s="16">
        <v>1024</v>
      </c>
      <c r="I376" s="17">
        <v>11.58</v>
      </c>
      <c r="J376" s="18">
        <v>0.12</v>
      </c>
      <c r="K376" s="17">
        <v>11861.15</v>
      </c>
      <c r="L376" s="17">
        <v>10437.81</v>
      </c>
      <c r="M376" s="17">
        <v>5.82</v>
      </c>
      <c r="N376" s="17">
        <v>5959.07</v>
      </c>
      <c r="O376" s="17">
        <v>4478.74</v>
      </c>
      <c r="P376" s="18">
        <v>0.42909999999999998</v>
      </c>
      <c r="Q376" s="17">
        <v>271.77</v>
      </c>
      <c r="R376" s="15" t="s">
        <v>23</v>
      </c>
    </row>
    <row r="377" spans="1:18" ht="14.25" customHeight="1" x14ac:dyDescent="0.3">
      <c r="A377" s="14">
        <v>45383</v>
      </c>
      <c r="B377" s="15">
        <v>2024</v>
      </c>
      <c r="C377" s="15" t="s">
        <v>41</v>
      </c>
      <c r="D377" s="15" t="s">
        <v>30</v>
      </c>
      <c r="E377" s="15" t="s">
        <v>20</v>
      </c>
      <c r="F377" s="15" t="s">
        <v>26</v>
      </c>
      <c r="G377" s="15" t="s">
        <v>35</v>
      </c>
      <c r="H377" s="16">
        <v>597</v>
      </c>
      <c r="I377" s="17">
        <v>11.23</v>
      </c>
      <c r="J377" s="18">
        <v>8.5000000000000006E-2</v>
      </c>
      <c r="K377" s="17">
        <v>6706.31</v>
      </c>
      <c r="L377" s="17">
        <v>6136.27</v>
      </c>
      <c r="M377" s="17">
        <v>5.82</v>
      </c>
      <c r="N377" s="17">
        <v>3474.18</v>
      </c>
      <c r="O377" s="17">
        <v>2662.09</v>
      </c>
      <c r="P377" s="18">
        <v>0.43380000000000002</v>
      </c>
      <c r="Q377" s="17">
        <v>353.85</v>
      </c>
      <c r="R377" s="15" t="s">
        <v>23</v>
      </c>
    </row>
    <row r="378" spans="1:18" ht="14.25" customHeight="1" x14ac:dyDescent="0.3">
      <c r="A378" s="14">
        <v>45383</v>
      </c>
      <c r="B378" s="15">
        <v>2024</v>
      </c>
      <c r="C378" s="15" t="s">
        <v>41</v>
      </c>
      <c r="D378" s="15" t="s">
        <v>19</v>
      </c>
      <c r="E378" s="15" t="s">
        <v>28</v>
      </c>
      <c r="F378" s="15" t="s">
        <v>32</v>
      </c>
      <c r="G378" s="15" t="s">
        <v>36</v>
      </c>
      <c r="H378" s="16">
        <v>145</v>
      </c>
      <c r="I378" s="17">
        <v>68.92</v>
      </c>
      <c r="J378" s="18">
        <v>2.5000000000000001E-2</v>
      </c>
      <c r="K378" s="17">
        <v>9993.19</v>
      </c>
      <c r="L378" s="17">
        <v>9743.36</v>
      </c>
      <c r="M378" s="17">
        <v>14.95</v>
      </c>
      <c r="N378" s="17">
        <v>2168.3200000000002</v>
      </c>
      <c r="O378" s="17">
        <v>7575.04</v>
      </c>
      <c r="P378" s="18">
        <v>0.77749999999999997</v>
      </c>
      <c r="Q378" s="17">
        <v>403.69</v>
      </c>
      <c r="R378" s="15" t="s">
        <v>23</v>
      </c>
    </row>
    <row r="379" spans="1:18" ht="14.25" customHeight="1" x14ac:dyDescent="0.3">
      <c r="A379" s="14">
        <v>45383</v>
      </c>
      <c r="B379" s="15">
        <v>2024</v>
      </c>
      <c r="C379" s="15" t="s">
        <v>41</v>
      </c>
      <c r="D379" s="15" t="s">
        <v>24</v>
      </c>
      <c r="E379" s="15" t="s">
        <v>31</v>
      </c>
      <c r="F379" s="15" t="s">
        <v>32</v>
      </c>
      <c r="G379" s="15" t="s">
        <v>36</v>
      </c>
      <c r="H379" s="16">
        <v>329</v>
      </c>
      <c r="I379" s="17">
        <v>69.61</v>
      </c>
      <c r="J379" s="18">
        <v>0.105</v>
      </c>
      <c r="K379" s="17">
        <v>22901.759999999998</v>
      </c>
      <c r="L379" s="17">
        <v>20497.07</v>
      </c>
      <c r="M379" s="17">
        <v>14.95</v>
      </c>
      <c r="N379" s="17">
        <v>4919.8500000000004</v>
      </c>
      <c r="O379" s="17">
        <v>15577.22</v>
      </c>
      <c r="P379" s="18">
        <v>0.76</v>
      </c>
      <c r="Q379" s="17">
        <v>389.09</v>
      </c>
      <c r="R379" s="15" t="s">
        <v>23</v>
      </c>
    </row>
    <row r="380" spans="1:18" ht="14.25" customHeight="1" x14ac:dyDescent="0.3">
      <c r="A380" s="14">
        <v>45383</v>
      </c>
      <c r="B380" s="15">
        <v>2024</v>
      </c>
      <c r="C380" s="15" t="s">
        <v>41</v>
      </c>
      <c r="D380" s="15" t="s">
        <v>27</v>
      </c>
      <c r="E380" s="15" t="s">
        <v>20</v>
      </c>
      <c r="F380" s="15" t="s">
        <v>26</v>
      </c>
      <c r="G380" s="15" t="s">
        <v>36</v>
      </c>
      <c r="H380" s="16">
        <v>307</v>
      </c>
      <c r="I380" s="17">
        <v>70.3</v>
      </c>
      <c r="J380" s="18">
        <v>7.0000000000000007E-2</v>
      </c>
      <c r="K380" s="17">
        <v>21582.67</v>
      </c>
      <c r="L380" s="17">
        <v>20071.88</v>
      </c>
      <c r="M380" s="17">
        <v>14.95</v>
      </c>
      <c r="N380" s="17">
        <v>4590.8599999999997</v>
      </c>
      <c r="O380" s="17">
        <v>15481.02</v>
      </c>
      <c r="P380" s="18">
        <v>0.77129999999999999</v>
      </c>
      <c r="Q380" s="17">
        <v>622.59</v>
      </c>
      <c r="R380" s="15" t="s">
        <v>23</v>
      </c>
    </row>
    <row r="381" spans="1:18" ht="14.25" customHeight="1" x14ac:dyDescent="0.3">
      <c r="A381" s="14">
        <v>45383</v>
      </c>
      <c r="B381" s="15">
        <v>2024</v>
      </c>
      <c r="C381" s="15" t="s">
        <v>41</v>
      </c>
      <c r="D381" s="15" t="s">
        <v>30</v>
      </c>
      <c r="E381" s="15" t="s">
        <v>28</v>
      </c>
      <c r="F381" s="15" t="s">
        <v>29</v>
      </c>
      <c r="G381" s="15" t="s">
        <v>36</v>
      </c>
      <c r="H381" s="16">
        <v>110</v>
      </c>
      <c r="I381" s="17">
        <v>68.23</v>
      </c>
      <c r="J381" s="18">
        <v>2.5000000000000001E-2</v>
      </c>
      <c r="K381" s="17">
        <v>7504.96</v>
      </c>
      <c r="L381" s="17">
        <v>7317.34</v>
      </c>
      <c r="M381" s="17">
        <v>14.95</v>
      </c>
      <c r="N381" s="17">
        <v>1644.93</v>
      </c>
      <c r="O381" s="17">
        <v>5672.4</v>
      </c>
      <c r="P381" s="18">
        <v>0.7752</v>
      </c>
      <c r="Q381" s="17">
        <v>350.91</v>
      </c>
      <c r="R381" s="15" t="s">
        <v>23</v>
      </c>
    </row>
    <row r="382" spans="1:18" ht="14.25" customHeight="1" x14ac:dyDescent="0.3">
      <c r="A382" s="14">
        <v>45383</v>
      </c>
      <c r="B382" s="15">
        <v>2024</v>
      </c>
      <c r="C382" s="15" t="s">
        <v>41</v>
      </c>
      <c r="D382" s="15" t="s">
        <v>19</v>
      </c>
      <c r="E382" s="15" t="s">
        <v>28</v>
      </c>
      <c r="F382" s="15" t="s">
        <v>29</v>
      </c>
      <c r="G382" s="15" t="s">
        <v>37</v>
      </c>
      <c r="H382" s="16">
        <v>129</v>
      </c>
      <c r="I382" s="17">
        <v>52.7</v>
      </c>
      <c r="J382" s="18">
        <v>2.5000000000000001E-2</v>
      </c>
      <c r="K382" s="17">
        <v>6798.37</v>
      </c>
      <c r="L382" s="17">
        <v>6628.41</v>
      </c>
      <c r="M382" s="17">
        <v>7.47</v>
      </c>
      <c r="N382" s="17">
        <v>964.02</v>
      </c>
      <c r="O382" s="17">
        <v>5664.39</v>
      </c>
      <c r="P382" s="18">
        <v>0.85460000000000003</v>
      </c>
      <c r="Q382" s="17">
        <v>250.62</v>
      </c>
      <c r="R382" s="15" t="s">
        <v>23</v>
      </c>
    </row>
    <row r="383" spans="1:18" ht="14.25" customHeight="1" x14ac:dyDescent="0.3">
      <c r="A383" s="14">
        <v>45383</v>
      </c>
      <c r="B383" s="15">
        <v>2024</v>
      </c>
      <c r="C383" s="15" t="s">
        <v>41</v>
      </c>
      <c r="D383" s="15" t="s">
        <v>24</v>
      </c>
      <c r="E383" s="15" t="s">
        <v>20</v>
      </c>
      <c r="F383" s="15" t="s">
        <v>26</v>
      </c>
      <c r="G383" s="15" t="s">
        <v>37</v>
      </c>
      <c r="H383" s="16">
        <v>246</v>
      </c>
      <c r="I383" s="17">
        <v>53.23</v>
      </c>
      <c r="J383" s="18">
        <v>7.0000000000000007E-2</v>
      </c>
      <c r="K383" s="17">
        <v>13095.37</v>
      </c>
      <c r="L383" s="17">
        <v>12178.69</v>
      </c>
      <c r="M383" s="17">
        <v>7.47</v>
      </c>
      <c r="N383" s="17">
        <v>1838.36</v>
      </c>
      <c r="O383" s="17">
        <v>10340.33</v>
      </c>
      <c r="P383" s="18">
        <v>0.84909999999999997</v>
      </c>
      <c r="Q383" s="17">
        <v>363.2</v>
      </c>
      <c r="R383" s="15" t="s">
        <v>23</v>
      </c>
    </row>
    <row r="384" spans="1:18" ht="14.25" customHeight="1" x14ac:dyDescent="0.3">
      <c r="A384" s="14">
        <v>45383</v>
      </c>
      <c r="B384" s="15">
        <v>2024</v>
      </c>
      <c r="C384" s="15" t="s">
        <v>41</v>
      </c>
      <c r="D384" s="15" t="s">
        <v>27</v>
      </c>
      <c r="E384" s="15" t="s">
        <v>25</v>
      </c>
      <c r="F384" s="15" t="s">
        <v>21</v>
      </c>
      <c r="G384" s="15" t="s">
        <v>37</v>
      </c>
      <c r="H384" s="16">
        <v>214</v>
      </c>
      <c r="I384" s="17">
        <v>53.76</v>
      </c>
      <c r="J384" s="18">
        <v>0.04</v>
      </c>
      <c r="K384" s="17">
        <v>11504.19</v>
      </c>
      <c r="L384" s="17">
        <v>11044.02</v>
      </c>
      <c r="M384" s="17">
        <v>7.47</v>
      </c>
      <c r="N384" s="17">
        <v>1599.22</v>
      </c>
      <c r="O384" s="17">
        <v>9444.7999999999993</v>
      </c>
      <c r="P384" s="18">
        <v>0.85519999999999996</v>
      </c>
      <c r="Q384" s="17">
        <v>338.14</v>
      </c>
      <c r="R384" s="15" t="s">
        <v>23</v>
      </c>
    </row>
    <row r="385" spans="1:18" ht="14.25" customHeight="1" x14ac:dyDescent="0.3">
      <c r="A385" s="14">
        <v>45383</v>
      </c>
      <c r="B385" s="15">
        <v>2024</v>
      </c>
      <c r="C385" s="15" t="s">
        <v>41</v>
      </c>
      <c r="D385" s="15" t="s">
        <v>30</v>
      </c>
      <c r="E385" s="15" t="s">
        <v>28</v>
      </c>
      <c r="F385" s="15" t="s">
        <v>32</v>
      </c>
      <c r="G385" s="15" t="s">
        <v>37</v>
      </c>
      <c r="H385" s="16">
        <v>97</v>
      </c>
      <c r="I385" s="17">
        <v>52.18</v>
      </c>
      <c r="J385" s="18">
        <v>2.5000000000000001E-2</v>
      </c>
      <c r="K385" s="17">
        <v>5061.0600000000004</v>
      </c>
      <c r="L385" s="17">
        <v>4934.53</v>
      </c>
      <c r="M385" s="17">
        <v>7.47</v>
      </c>
      <c r="N385" s="17">
        <v>724.88</v>
      </c>
      <c r="O385" s="17">
        <v>4209.6499999999996</v>
      </c>
      <c r="P385" s="18">
        <v>0.85309999999999997</v>
      </c>
      <c r="Q385" s="17">
        <v>221.82</v>
      </c>
      <c r="R385" s="15" t="s">
        <v>23</v>
      </c>
    </row>
    <row r="386" spans="1:18" ht="14.25" customHeight="1" x14ac:dyDescent="0.3">
      <c r="A386" s="14">
        <v>45413</v>
      </c>
      <c r="B386" s="15">
        <v>2024</v>
      </c>
      <c r="C386" s="15" t="s">
        <v>42</v>
      </c>
      <c r="D386" s="15" t="s">
        <v>19</v>
      </c>
      <c r="E386" s="15" t="s">
        <v>20</v>
      </c>
      <c r="F386" s="15" t="s">
        <v>21</v>
      </c>
      <c r="G386" s="15" t="s">
        <v>22</v>
      </c>
      <c r="H386" s="16">
        <v>152</v>
      </c>
      <c r="I386" s="17">
        <v>502.69</v>
      </c>
      <c r="J386" s="18">
        <v>8.5000000000000006E-2</v>
      </c>
      <c r="K386" s="17">
        <v>76409.55</v>
      </c>
      <c r="L386" s="17">
        <v>69914.740000000005</v>
      </c>
      <c r="M386" s="17">
        <v>386.31</v>
      </c>
      <c r="N386" s="17">
        <v>58718.57</v>
      </c>
      <c r="O386" s="17">
        <v>11196.17</v>
      </c>
      <c r="P386" s="18">
        <v>0.16009999999999999</v>
      </c>
      <c r="Q386" s="17">
        <v>1206.5999999999999</v>
      </c>
      <c r="R386" s="15" t="s">
        <v>23</v>
      </c>
    </row>
    <row r="387" spans="1:18" ht="14.25" customHeight="1" x14ac:dyDescent="0.3">
      <c r="A387" s="14">
        <v>45413</v>
      </c>
      <c r="B387" s="15">
        <v>2024</v>
      </c>
      <c r="C387" s="15" t="s">
        <v>42</v>
      </c>
      <c r="D387" s="15" t="s">
        <v>24</v>
      </c>
      <c r="E387" s="15" t="s">
        <v>25</v>
      </c>
      <c r="F387" s="15" t="s">
        <v>26</v>
      </c>
      <c r="G387" s="15" t="s">
        <v>22</v>
      </c>
      <c r="H387" s="16">
        <v>144</v>
      </c>
      <c r="I387" s="17">
        <v>507.75</v>
      </c>
      <c r="J387" s="18">
        <v>5.5E-2</v>
      </c>
      <c r="K387" s="17">
        <v>73116.09</v>
      </c>
      <c r="L387" s="17">
        <v>69094.7</v>
      </c>
      <c r="M387" s="17">
        <v>386.31</v>
      </c>
      <c r="N387" s="17">
        <v>55628.12</v>
      </c>
      <c r="O387" s="17">
        <v>13466.58</v>
      </c>
      <c r="P387" s="18">
        <v>0.19489999999999999</v>
      </c>
      <c r="Q387" s="17">
        <v>1041.8699999999999</v>
      </c>
      <c r="R387" s="15" t="s">
        <v>23</v>
      </c>
    </row>
    <row r="388" spans="1:18" ht="14.25" customHeight="1" x14ac:dyDescent="0.3">
      <c r="A388" s="14">
        <v>45413</v>
      </c>
      <c r="B388" s="15">
        <v>2024</v>
      </c>
      <c r="C388" s="15" t="s">
        <v>42</v>
      </c>
      <c r="D388" s="15" t="s">
        <v>27</v>
      </c>
      <c r="E388" s="15" t="s">
        <v>28</v>
      </c>
      <c r="F388" s="15" t="s">
        <v>29</v>
      </c>
      <c r="G388" s="15" t="s">
        <v>22</v>
      </c>
      <c r="H388" s="16">
        <v>104</v>
      </c>
      <c r="I388" s="17">
        <v>512.79999999999995</v>
      </c>
      <c r="J388" s="18">
        <v>0.04</v>
      </c>
      <c r="K388" s="17">
        <v>53331.08</v>
      </c>
      <c r="L388" s="17">
        <v>51197.84</v>
      </c>
      <c r="M388" s="17">
        <v>386.31</v>
      </c>
      <c r="N388" s="17">
        <v>40175.870000000003</v>
      </c>
      <c r="O388" s="17">
        <v>11021.98</v>
      </c>
      <c r="P388" s="18">
        <v>0.21529999999999999</v>
      </c>
      <c r="Q388" s="17">
        <v>941.76</v>
      </c>
      <c r="R388" s="15" t="s">
        <v>23</v>
      </c>
    </row>
    <row r="389" spans="1:18" ht="14.25" customHeight="1" x14ac:dyDescent="0.3">
      <c r="A389" s="14">
        <v>45413</v>
      </c>
      <c r="B389" s="15">
        <v>2024</v>
      </c>
      <c r="C389" s="15" t="s">
        <v>42</v>
      </c>
      <c r="D389" s="15" t="s">
        <v>30</v>
      </c>
      <c r="E389" s="15" t="s">
        <v>31</v>
      </c>
      <c r="F389" s="15" t="s">
        <v>32</v>
      </c>
      <c r="G389" s="15" t="s">
        <v>22</v>
      </c>
      <c r="H389" s="16">
        <v>138</v>
      </c>
      <c r="I389" s="17">
        <v>497.65</v>
      </c>
      <c r="J389" s="18">
        <v>0.12</v>
      </c>
      <c r="K389" s="17">
        <v>68675.17</v>
      </c>
      <c r="L389" s="17">
        <v>60434.15</v>
      </c>
      <c r="M389" s="17">
        <v>386.31</v>
      </c>
      <c r="N389" s="17">
        <v>53310.28</v>
      </c>
      <c r="O389" s="17">
        <v>7123.87</v>
      </c>
      <c r="P389" s="18">
        <v>0.1179</v>
      </c>
      <c r="Q389" s="17">
        <v>629.1</v>
      </c>
      <c r="R389" s="15" t="s">
        <v>23</v>
      </c>
    </row>
    <row r="390" spans="1:18" ht="14.25" customHeight="1" x14ac:dyDescent="0.3">
      <c r="A390" s="14">
        <v>45413</v>
      </c>
      <c r="B390" s="15">
        <v>2024</v>
      </c>
      <c r="C390" s="15" t="s">
        <v>42</v>
      </c>
      <c r="D390" s="15" t="s">
        <v>19</v>
      </c>
      <c r="E390" s="15" t="s">
        <v>25</v>
      </c>
      <c r="F390" s="15" t="s">
        <v>26</v>
      </c>
      <c r="G390" s="15" t="s">
        <v>33</v>
      </c>
      <c r="H390" s="16">
        <v>95</v>
      </c>
      <c r="I390" s="17">
        <v>713.5</v>
      </c>
      <c r="J390" s="18">
        <v>5.5E-2</v>
      </c>
      <c r="K390" s="17">
        <v>67782.929999999993</v>
      </c>
      <c r="L390" s="17">
        <v>64054.87</v>
      </c>
      <c r="M390" s="17">
        <v>573.23</v>
      </c>
      <c r="N390" s="17">
        <v>54457.3</v>
      </c>
      <c r="O390" s="17">
        <v>9597.57</v>
      </c>
      <c r="P390" s="18">
        <v>0.14979999999999999</v>
      </c>
      <c r="Q390" s="17">
        <v>1017.79</v>
      </c>
      <c r="R390" s="15" t="s">
        <v>23</v>
      </c>
    </row>
    <row r="391" spans="1:18" ht="14.25" customHeight="1" x14ac:dyDescent="0.3">
      <c r="A391" s="14">
        <v>45413</v>
      </c>
      <c r="B391" s="15">
        <v>2024</v>
      </c>
      <c r="C391" s="15" t="s">
        <v>42</v>
      </c>
      <c r="D391" s="15" t="s">
        <v>24</v>
      </c>
      <c r="E391" s="15" t="s">
        <v>28</v>
      </c>
      <c r="F391" s="15" t="s">
        <v>29</v>
      </c>
      <c r="G391" s="15" t="s">
        <v>33</v>
      </c>
      <c r="H391" s="16">
        <v>68</v>
      </c>
      <c r="I391" s="17">
        <v>720.68</v>
      </c>
      <c r="J391" s="18">
        <v>0.04</v>
      </c>
      <c r="K391" s="17">
        <v>49005.93</v>
      </c>
      <c r="L391" s="17">
        <v>47045.69</v>
      </c>
      <c r="M391" s="17">
        <v>573.23</v>
      </c>
      <c r="N391" s="17">
        <v>38979.96</v>
      </c>
      <c r="O391" s="17">
        <v>8065.73</v>
      </c>
      <c r="P391" s="18">
        <v>0.1714</v>
      </c>
      <c r="Q391" s="17">
        <v>876.77</v>
      </c>
      <c r="R391" s="15" t="s">
        <v>23</v>
      </c>
    </row>
    <row r="392" spans="1:18" ht="14.25" customHeight="1" x14ac:dyDescent="0.3">
      <c r="A392" s="14">
        <v>45413</v>
      </c>
      <c r="B392" s="15">
        <v>2024</v>
      </c>
      <c r="C392" s="15" t="s">
        <v>42</v>
      </c>
      <c r="D392" s="15" t="s">
        <v>27</v>
      </c>
      <c r="E392" s="15" t="s">
        <v>31</v>
      </c>
      <c r="F392" s="15" t="s">
        <v>32</v>
      </c>
      <c r="G392" s="15" t="s">
        <v>33</v>
      </c>
      <c r="H392" s="16">
        <v>150</v>
      </c>
      <c r="I392" s="17">
        <v>727.85</v>
      </c>
      <c r="J392" s="18">
        <v>0.12</v>
      </c>
      <c r="K392" s="17">
        <v>109176.95</v>
      </c>
      <c r="L392" s="17">
        <v>96075.72</v>
      </c>
      <c r="M392" s="17">
        <v>573.23</v>
      </c>
      <c r="N392" s="17">
        <v>85985.21</v>
      </c>
      <c r="O392" s="17">
        <v>10090.51</v>
      </c>
      <c r="P392" s="18">
        <v>0.105</v>
      </c>
      <c r="Q392" s="17">
        <v>827.5</v>
      </c>
      <c r="R392" s="15" t="s">
        <v>23</v>
      </c>
    </row>
    <row r="393" spans="1:18" ht="14.25" customHeight="1" x14ac:dyDescent="0.3">
      <c r="A393" s="14">
        <v>45413</v>
      </c>
      <c r="B393" s="15">
        <v>2024</v>
      </c>
      <c r="C393" s="15" t="s">
        <v>42</v>
      </c>
      <c r="D393" s="15" t="s">
        <v>30</v>
      </c>
      <c r="E393" s="15" t="s">
        <v>20</v>
      </c>
      <c r="F393" s="15" t="s">
        <v>21</v>
      </c>
      <c r="G393" s="15" t="s">
        <v>33</v>
      </c>
      <c r="H393" s="16">
        <v>88</v>
      </c>
      <c r="I393" s="17">
        <v>706.33</v>
      </c>
      <c r="J393" s="18">
        <v>8.5000000000000006E-2</v>
      </c>
      <c r="K393" s="17">
        <v>62157.36</v>
      </c>
      <c r="L393" s="17">
        <v>56873.98</v>
      </c>
      <c r="M393" s="17">
        <v>573.23</v>
      </c>
      <c r="N393" s="17">
        <v>50444.66</v>
      </c>
      <c r="O393" s="17">
        <v>6429.32</v>
      </c>
      <c r="P393" s="18">
        <v>0.113</v>
      </c>
      <c r="Q393" s="17">
        <v>1023.8</v>
      </c>
      <c r="R393" s="15" t="s">
        <v>23</v>
      </c>
    </row>
    <row r="394" spans="1:18" ht="14.25" customHeight="1" x14ac:dyDescent="0.3">
      <c r="A394" s="14">
        <v>45413</v>
      </c>
      <c r="B394" s="15">
        <v>2024</v>
      </c>
      <c r="C394" s="15" t="s">
        <v>42</v>
      </c>
      <c r="D394" s="15" t="s">
        <v>19</v>
      </c>
      <c r="E394" s="15" t="s">
        <v>20</v>
      </c>
      <c r="F394" s="15" t="s">
        <v>21</v>
      </c>
      <c r="G394" s="15" t="s">
        <v>34</v>
      </c>
      <c r="H394" s="16">
        <v>212</v>
      </c>
      <c r="I394" s="17">
        <v>227.02</v>
      </c>
      <c r="J394" s="18">
        <v>8.5000000000000006E-2</v>
      </c>
      <c r="K394" s="17">
        <v>48128.28</v>
      </c>
      <c r="L394" s="17">
        <v>44037.38</v>
      </c>
      <c r="M394" s="17">
        <v>157.85</v>
      </c>
      <c r="N394" s="17">
        <v>33463.620000000003</v>
      </c>
      <c r="O394" s="17">
        <v>10573.76</v>
      </c>
      <c r="P394" s="18">
        <v>0.24010000000000001</v>
      </c>
      <c r="Q394" s="17">
        <v>840.02</v>
      </c>
      <c r="R394" s="15" t="s">
        <v>23</v>
      </c>
    </row>
    <row r="395" spans="1:18" ht="14.25" customHeight="1" x14ac:dyDescent="0.3">
      <c r="A395" s="14">
        <v>45413</v>
      </c>
      <c r="B395" s="15">
        <v>2024</v>
      </c>
      <c r="C395" s="15" t="s">
        <v>42</v>
      </c>
      <c r="D395" s="15" t="s">
        <v>24</v>
      </c>
      <c r="E395" s="15" t="s">
        <v>25</v>
      </c>
      <c r="F395" s="15" t="s">
        <v>26</v>
      </c>
      <c r="G395" s="15" t="s">
        <v>34</v>
      </c>
      <c r="H395" s="16">
        <v>206</v>
      </c>
      <c r="I395" s="17">
        <v>229.3</v>
      </c>
      <c r="J395" s="18">
        <v>5.5E-2</v>
      </c>
      <c r="K395" s="17">
        <v>47236.18</v>
      </c>
      <c r="L395" s="17">
        <v>44638.19</v>
      </c>
      <c r="M395" s="17">
        <v>157.85</v>
      </c>
      <c r="N395" s="17">
        <v>32516.53</v>
      </c>
      <c r="O395" s="17">
        <v>12121.66</v>
      </c>
      <c r="P395" s="18">
        <v>0.27160000000000001</v>
      </c>
      <c r="Q395" s="17">
        <v>733.44</v>
      </c>
      <c r="R395" s="15" t="s">
        <v>23</v>
      </c>
    </row>
    <row r="396" spans="1:18" ht="14.25" customHeight="1" x14ac:dyDescent="0.3">
      <c r="A396" s="14">
        <v>45413</v>
      </c>
      <c r="B396" s="15">
        <v>2024</v>
      </c>
      <c r="C396" s="15" t="s">
        <v>42</v>
      </c>
      <c r="D396" s="15" t="s">
        <v>27</v>
      </c>
      <c r="E396" s="15" t="s">
        <v>31</v>
      </c>
      <c r="F396" s="15" t="s">
        <v>32</v>
      </c>
      <c r="G396" s="15" t="s">
        <v>34</v>
      </c>
      <c r="H396" s="16">
        <v>288</v>
      </c>
      <c r="I396" s="17">
        <v>231.58</v>
      </c>
      <c r="J396" s="18">
        <v>0.12</v>
      </c>
      <c r="K396" s="17">
        <v>66696.05</v>
      </c>
      <c r="L396" s="17">
        <v>58692.52</v>
      </c>
      <c r="M396" s="17">
        <v>157.85</v>
      </c>
      <c r="N396" s="17">
        <v>45460.01</v>
      </c>
      <c r="O396" s="17">
        <v>13232.51</v>
      </c>
      <c r="P396" s="18">
        <v>0.22550000000000001</v>
      </c>
      <c r="Q396" s="17">
        <v>576.96</v>
      </c>
      <c r="R396" s="15" t="s">
        <v>23</v>
      </c>
    </row>
    <row r="397" spans="1:18" ht="14.25" customHeight="1" x14ac:dyDescent="0.3">
      <c r="A397" s="14">
        <v>45413</v>
      </c>
      <c r="B397" s="15">
        <v>2024</v>
      </c>
      <c r="C397" s="15" t="s">
        <v>42</v>
      </c>
      <c r="D397" s="15" t="s">
        <v>30</v>
      </c>
      <c r="E397" s="15" t="s">
        <v>20</v>
      </c>
      <c r="F397" s="15" t="s">
        <v>26</v>
      </c>
      <c r="G397" s="15" t="s">
        <v>34</v>
      </c>
      <c r="H397" s="16">
        <v>178</v>
      </c>
      <c r="I397" s="17">
        <v>224.74</v>
      </c>
      <c r="J397" s="18">
        <v>8.5000000000000006E-2</v>
      </c>
      <c r="K397" s="17">
        <v>40003.46</v>
      </c>
      <c r="L397" s="17">
        <v>36603.17</v>
      </c>
      <c r="M397" s="17">
        <v>157.85</v>
      </c>
      <c r="N397" s="17">
        <v>28096.81</v>
      </c>
      <c r="O397" s="17">
        <v>8506.36</v>
      </c>
      <c r="P397" s="18">
        <v>0.2324</v>
      </c>
      <c r="Q397" s="17">
        <v>720.42</v>
      </c>
      <c r="R397" s="15" t="s">
        <v>23</v>
      </c>
    </row>
    <row r="398" spans="1:18" ht="14.25" customHeight="1" x14ac:dyDescent="0.3">
      <c r="A398" s="14">
        <v>45413</v>
      </c>
      <c r="B398" s="15">
        <v>2024</v>
      </c>
      <c r="C398" s="15" t="s">
        <v>42</v>
      </c>
      <c r="D398" s="15" t="s">
        <v>19</v>
      </c>
      <c r="E398" s="15" t="s">
        <v>25</v>
      </c>
      <c r="F398" s="15" t="s">
        <v>26</v>
      </c>
      <c r="G398" s="15" t="s">
        <v>35</v>
      </c>
      <c r="H398" s="16">
        <v>697</v>
      </c>
      <c r="I398" s="17">
        <v>11.35</v>
      </c>
      <c r="J398" s="18">
        <v>5.5E-2</v>
      </c>
      <c r="K398" s="17">
        <v>7912.76</v>
      </c>
      <c r="L398" s="17">
        <v>7477.56</v>
      </c>
      <c r="M398" s="17">
        <v>5.82</v>
      </c>
      <c r="N398" s="17">
        <v>4056.12</v>
      </c>
      <c r="O398" s="17">
        <v>3421.44</v>
      </c>
      <c r="P398" s="18">
        <v>0.45760000000000001</v>
      </c>
      <c r="Q398" s="17">
        <v>337.98</v>
      </c>
      <c r="R398" s="15" t="s">
        <v>23</v>
      </c>
    </row>
    <row r="399" spans="1:18" ht="14.25" customHeight="1" x14ac:dyDescent="0.3">
      <c r="A399" s="14">
        <v>45413</v>
      </c>
      <c r="B399" s="15">
        <v>2024</v>
      </c>
      <c r="C399" s="15" t="s">
        <v>42</v>
      </c>
      <c r="D399" s="15" t="s">
        <v>24</v>
      </c>
      <c r="E399" s="15" t="s">
        <v>31</v>
      </c>
      <c r="F399" s="15" t="s">
        <v>32</v>
      </c>
      <c r="G399" s="15" t="s">
        <v>35</v>
      </c>
      <c r="H399" s="16">
        <v>959</v>
      </c>
      <c r="I399" s="17">
        <v>11.46</v>
      </c>
      <c r="J399" s="18">
        <v>0.12</v>
      </c>
      <c r="K399" s="17">
        <v>10993.88</v>
      </c>
      <c r="L399" s="17">
        <v>9674.6200000000008</v>
      </c>
      <c r="M399" s="17">
        <v>5.82</v>
      </c>
      <c r="N399" s="17">
        <v>5580.8</v>
      </c>
      <c r="O399" s="17">
        <v>4093.81</v>
      </c>
      <c r="P399" s="18">
        <v>0.42309999999999998</v>
      </c>
      <c r="Q399" s="17">
        <v>272.18</v>
      </c>
      <c r="R399" s="15" t="s">
        <v>23</v>
      </c>
    </row>
    <row r="400" spans="1:18" ht="14.25" customHeight="1" x14ac:dyDescent="0.3">
      <c r="A400" s="14">
        <v>45413</v>
      </c>
      <c r="B400" s="15">
        <v>2024</v>
      </c>
      <c r="C400" s="15" t="s">
        <v>42</v>
      </c>
      <c r="D400" s="15" t="s">
        <v>27</v>
      </c>
      <c r="E400" s="15" t="s">
        <v>20</v>
      </c>
      <c r="F400" s="15" t="s">
        <v>26</v>
      </c>
      <c r="G400" s="15" t="s">
        <v>35</v>
      </c>
      <c r="H400" s="16">
        <v>958</v>
      </c>
      <c r="I400" s="17">
        <v>11.58</v>
      </c>
      <c r="J400" s="18">
        <v>8.5000000000000006E-2</v>
      </c>
      <c r="K400" s="17">
        <v>11096.66</v>
      </c>
      <c r="L400" s="17">
        <v>10153.44</v>
      </c>
      <c r="M400" s="17">
        <v>5.82</v>
      </c>
      <c r="N400" s="17">
        <v>5574.99</v>
      </c>
      <c r="O400" s="17">
        <v>4578.45</v>
      </c>
      <c r="P400" s="18">
        <v>0.45090000000000002</v>
      </c>
      <c r="Q400" s="17">
        <v>449.11</v>
      </c>
      <c r="R400" s="15" t="s">
        <v>23</v>
      </c>
    </row>
    <row r="401" spans="1:18" ht="14.25" customHeight="1" x14ac:dyDescent="0.3">
      <c r="A401" s="14">
        <v>45413</v>
      </c>
      <c r="B401" s="15">
        <v>2024</v>
      </c>
      <c r="C401" s="15" t="s">
        <v>42</v>
      </c>
      <c r="D401" s="15" t="s">
        <v>30</v>
      </c>
      <c r="E401" s="15" t="s">
        <v>25</v>
      </c>
      <c r="F401" s="15" t="s">
        <v>21</v>
      </c>
      <c r="G401" s="15" t="s">
        <v>35</v>
      </c>
      <c r="H401" s="16">
        <v>521</v>
      </c>
      <c r="I401" s="17">
        <v>11.23</v>
      </c>
      <c r="J401" s="18">
        <v>5.5E-2</v>
      </c>
      <c r="K401" s="17">
        <v>5852.58</v>
      </c>
      <c r="L401" s="17">
        <v>5530.68</v>
      </c>
      <c r="M401" s="17">
        <v>5.82</v>
      </c>
      <c r="N401" s="17">
        <v>3031.91</v>
      </c>
      <c r="O401" s="17">
        <v>2498.77</v>
      </c>
      <c r="P401" s="18">
        <v>0.45179999999999998</v>
      </c>
      <c r="Q401" s="17">
        <v>296.42</v>
      </c>
      <c r="R401" s="15" t="s">
        <v>23</v>
      </c>
    </row>
    <row r="402" spans="1:18" ht="14.25" customHeight="1" x14ac:dyDescent="0.3">
      <c r="A402" s="14">
        <v>45413</v>
      </c>
      <c r="B402" s="15">
        <v>2024</v>
      </c>
      <c r="C402" s="15" t="s">
        <v>42</v>
      </c>
      <c r="D402" s="15" t="s">
        <v>19</v>
      </c>
      <c r="E402" s="15" t="s">
        <v>31</v>
      </c>
      <c r="F402" s="15" t="s">
        <v>32</v>
      </c>
      <c r="G402" s="15" t="s">
        <v>36</v>
      </c>
      <c r="H402" s="16">
        <v>288</v>
      </c>
      <c r="I402" s="17">
        <v>68.92</v>
      </c>
      <c r="J402" s="18">
        <v>0.105</v>
      </c>
      <c r="K402" s="17">
        <v>19848.54</v>
      </c>
      <c r="L402" s="17">
        <v>17764.439999999999</v>
      </c>
      <c r="M402" s="17">
        <v>14.95</v>
      </c>
      <c r="N402" s="17">
        <v>4306.74</v>
      </c>
      <c r="O402" s="17">
        <v>13457.7</v>
      </c>
      <c r="P402" s="18">
        <v>0.75760000000000005</v>
      </c>
      <c r="Q402" s="17">
        <v>350.05</v>
      </c>
      <c r="R402" s="15" t="s">
        <v>23</v>
      </c>
    </row>
    <row r="403" spans="1:18" ht="14.25" customHeight="1" x14ac:dyDescent="0.3">
      <c r="A403" s="14">
        <v>45413</v>
      </c>
      <c r="B403" s="15">
        <v>2024</v>
      </c>
      <c r="C403" s="15" t="s">
        <v>42</v>
      </c>
      <c r="D403" s="15" t="s">
        <v>24</v>
      </c>
      <c r="E403" s="15" t="s">
        <v>20</v>
      </c>
      <c r="F403" s="15" t="s">
        <v>26</v>
      </c>
      <c r="G403" s="15" t="s">
        <v>36</v>
      </c>
      <c r="H403" s="16">
        <v>296</v>
      </c>
      <c r="I403" s="17">
        <v>69.61</v>
      </c>
      <c r="J403" s="18">
        <v>7.0000000000000007E-2</v>
      </c>
      <c r="K403" s="17">
        <v>20604.62</v>
      </c>
      <c r="L403" s="17">
        <v>19162.3</v>
      </c>
      <c r="M403" s="17">
        <v>14.95</v>
      </c>
      <c r="N403" s="17">
        <v>4426.37</v>
      </c>
      <c r="O403" s="17">
        <v>14735.93</v>
      </c>
      <c r="P403" s="18">
        <v>0.76900000000000002</v>
      </c>
      <c r="Q403" s="17">
        <v>628.67999999999995</v>
      </c>
      <c r="R403" s="15" t="s">
        <v>23</v>
      </c>
    </row>
    <row r="404" spans="1:18" ht="14.25" customHeight="1" x14ac:dyDescent="0.3">
      <c r="A404" s="14">
        <v>45413</v>
      </c>
      <c r="B404" s="15">
        <v>2024</v>
      </c>
      <c r="C404" s="15" t="s">
        <v>42</v>
      </c>
      <c r="D404" s="15" t="s">
        <v>27</v>
      </c>
      <c r="E404" s="15" t="s">
        <v>28</v>
      </c>
      <c r="F404" s="15" t="s">
        <v>29</v>
      </c>
      <c r="G404" s="15" t="s">
        <v>36</v>
      </c>
      <c r="H404" s="16">
        <v>183</v>
      </c>
      <c r="I404" s="17">
        <v>70.3</v>
      </c>
      <c r="J404" s="18">
        <v>2.5000000000000001E-2</v>
      </c>
      <c r="K404" s="17">
        <v>12865.24</v>
      </c>
      <c r="L404" s="17">
        <v>12543.61</v>
      </c>
      <c r="M404" s="17">
        <v>14.95</v>
      </c>
      <c r="N404" s="17">
        <v>2736.57</v>
      </c>
      <c r="O404" s="17">
        <v>9807.0300000000007</v>
      </c>
      <c r="P404" s="18">
        <v>0.78180000000000005</v>
      </c>
      <c r="Q404" s="17">
        <v>438.91</v>
      </c>
      <c r="R404" s="15" t="s">
        <v>23</v>
      </c>
    </row>
    <row r="405" spans="1:18" ht="14.25" customHeight="1" x14ac:dyDescent="0.3">
      <c r="A405" s="14">
        <v>45413</v>
      </c>
      <c r="B405" s="15">
        <v>2024</v>
      </c>
      <c r="C405" s="15" t="s">
        <v>42</v>
      </c>
      <c r="D405" s="15" t="s">
        <v>30</v>
      </c>
      <c r="E405" s="15" t="s">
        <v>31</v>
      </c>
      <c r="F405" s="15" t="s">
        <v>32</v>
      </c>
      <c r="G405" s="15" t="s">
        <v>36</v>
      </c>
      <c r="H405" s="16">
        <v>232</v>
      </c>
      <c r="I405" s="17">
        <v>68.23</v>
      </c>
      <c r="J405" s="18">
        <v>0.105</v>
      </c>
      <c r="K405" s="17">
        <v>15828.64</v>
      </c>
      <c r="L405" s="17">
        <v>14166.63</v>
      </c>
      <c r="M405" s="17">
        <v>14.95</v>
      </c>
      <c r="N405" s="17">
        <v>3469.32</v>
      </c>
      <c r="O405" s="17">
        <v>10697.31</v>
      </c>
      <c r="P405" s="18">
        <v>0.75509999999999999</v>
      </c>
      <c r="Q405" s="17">
        <v>309.20999999999998</v>
      </c>
      <c r="R405" s="15" t="s">
        <v>23</v>
      </c>
    </row>
    <row r="406" spans="1:18" ht="14.25" customHeight="1" x14ac:dyDescent="0.3">
      <c r="A406" s="14">
        <v>45413</v>
      </c>
      <c r="B406" s="15">
        <v>2024</v>
      </c>
      <c r="C406" s="15" t="s">
        <v>42</v>
      </c>
      <c r="D406" s="15" t="s">
        <v>19</v>
      </c>
      <c r="E406" s="15" t="s">
        <v>20</v>
      </c>
      <c r="F406" s="15" t="s">
        <v>26</v>
      </c>
      <c r="G406" s="15" t="s">
        <v>37</v>
      </c>
      <c r="H406" s="16">
        <v>228</v>
      </c>
      <c r="I406" s="17">
        <v>52.7</v>
      </c>
      <c r="J406" s="18">
        <v>7.0000000000000007E-2</v>
      </c>
      <c r="K406" s="17">
        <v>12015.73</v>
      </c>
      <c r="L406" s="17">
        <v>11174.62</v>
      </c>
      <c r="M406" s="17">
        <v>7.47</v>
      </c>
      <c r="N406" s="17">
        <v>1703.84</v>
      </c>
      <c r="O406" s="17">
        <v>9470.7800000000007</v>
      </c>
      <c r="P406" s="18">
        <v>0.84750000000000003</v>
      </c>
      <c r="Q406" s="17">
        <v>345.67</v>
      </c>
      <c r="R406" s="15" t="s">
        <v>23</v>
      </c>
    </row>
    <row r="407" spans="1:18" ht="14.25" customHeight="1" x14ac:dyDescent="0.3">
      <c r="A407" s="14">
        <v>45413</v>
      </c>
      <c r="B407" s="15">
        <v>2024</v>
      </c>
      <c r="C407" s="15" t="s">
        <v>42</v>
      </c>
      <c r="D407" s="15" t="s">
        <v>24</v>
      </c>
      <c r="E407" s="15" t="s">
        <v>25</v>
      </c>
      <c r="F407" s="15" t="s">
        <v>21</v>
      </c>
      <c r="G407" s="15" t="s">
        <v>37</v>
      </c>
      <c r="H407" s="16">
        <v>202</v>
      </c>
      <c r="I407" s="17">
        <v>53.23</v>
      </c>
      <c r="J407" s="18">
        <v>0.04</v>
      </c>
      <c r="K407" s="17">
        <v>10753.11</v>
      </c>
      <c r="L407" s="17">
        <v>10322.98</v>
      </c>
      <c r="M407" s="17">
        <v>7.47</v>
      </c>
      <c r="N407" s="17">
        <v>1509.55</v>
      </c>
      <c r="O407" s="17">
        <v>8813.43</v>
      </c>
      <c r="P407" s="18">
        <v>0.8538</v>
      </c>
      <c r="Q407" s="17">
        <v>310.77999999999997</v>
      </c>
      <c r="R407" s="15" t="s">
        <v>23</v>
      </c>
    </row>
    <row r="408" spans="1:18" ht="14.25" customHeight="1" x14ac:dyDescent="0.3">
      <c r="A408" s="14">
        <v>45413</v>
      </c>
      <c r="B408" s="15">
        <v>2024</v>
      </c>
      <c r="C408" s="15" t="s">
        <v>42</v>
      </c>
      <c r="D408" s="15" t="s">
        <v>27</v>
      </c>
      <c r="E408" s="15" t="s">
        <v>28</v>
      </c>
      <c r="F408" s="15" t="s">
        <v>32</v>
      </c>
      <c r="G408" s="15" t="s">
        <v>37</v>
      </c>
      <c r="H408" s="16">
        <v>149</v>
      </c>
      <c r="I408" s="17">
        <v>53.76</v>
      </c>
      <c r="J408" s="18">
        <v>2.5000000000000001E-2</v>
      </c>
      <c r="K408" s="17">
        <v>8009.93</v>
      </c>
      <c r="L408" s="17">
        <v>7809.68</v>
      </c>
      <c r="M408" s="17">
        <v>7.47</v>
      </c>
      <c r="N408" s="17">
        <v>1113.48</v>
      </c>
      <c r="O408" s="17">
        <v>6696.21</v>
      </c>
      <c r="P408" s="18">
        <v>0.85740000000000005</v>
      </c>
      <c r="Q408" s="17">
        <v>282.3</v>
      </c>
      <c r="R408" s="15" t="s">
        <v>23</v>
      </c>
    </row>
    <row r="409" spans="1:18" ht="14.25" customHeight="1" x14ac:dyDescent="0.3">
      <c r="A409" s="14">
        <v>45413</v>
      </c>
      <c r="B409" s="15">
        <v>2024</v>
      </c>
      <c r="C409" s="15" t="s">
        <v>42</v>
      </c>
      <c r="D409" s="15" t="s">
        <v>30</v>
      </c>
      <c r="E409" s="15" t="s">
        <v>20</v>
      </c>
      <c r="F409" s="15" t="s">
        <v>21</v>
      </c>
      <c r="G409" s="15" t="s">
        <v>37</v>
      </c>
      <c r="H409" s="16">
        <v>179</v>
      </c>
      <c r="I409" s="17">
        <v>52.18</v>
      </c>
      <c r="J409" s="18">
        <v>7.0000000000000007E-2</v>
      </c>
      <c r="K409" s="17">
        <v>9339.48</v>
      </c>
      <c r="L409" s="17">
        <v>8685.7199999999993</v>
      </c>
      <c r="M409" s="17">
        <v>7.47</v>
      </c>
      <c r="N409" s="17">
        <v>1337.67</v>
      </c>
      <c r="O409" s="17">
        <v>7348.05</v>
      </c>
      <c r="P409" s="18">
        <v>0.84599999999999997</v>
      </c>
      <c r="Q409" s="17">
        <v>296.67</v>
      </c>
      <c r="R409" s="15" t="s">
        <v>23</v>
      </c>
    </row>
    <row r="410" spans="1:18" ht="14.25" customHeight="1" x14ac:dyDescent="0.3">
      <c r="A410" s="14">
        <v>45444</v>
      </c>
      <c r="B410" s="15">
        <v>2024</v>
      </c>
      <c r="C410" s="15" t="s">
        <v>43</v>
      </c>
      <c r="D410" s="15" t="s">
        <v>19</v>
      </c>
      <c r="E410" s="15" t="s">
        <v>25</v>
      </c>
      <c r="F410" s="15" t="s">
        <v>26</v>
      </c>
      <c r="G410" s="15" t="s">
        <v>22</v>
      </c>
      <c r="H410" s="16">
        <v>120</v>
      </c>
      <c r="I410" s="17">
        <v>502.69</v>
      </c>
      <c r="J410" s="18">
        <v>5.5E-2</v>
      </c>
      <c r="K410" s="17">
        <v>60323.33</v>
      </c>
      <c r="L410" s="17">
        <v>57005.55</v>
      </c>
      <c r="M410" s="17">
        <v>386.31</v>
      </c>
      <c r="N410" s="17">
        <v>46356.77</v>
      </c>
      <c r="O410" s="17">
        <v>10648.78</v>
      </c>
      <c r="P410" s="18">
        <v>0.18679999999999999</v>
      </c>
      <c r="Q410" s="17">
        <v>949.28</v>
      </c>
      <c r="R410" s="15" t="s">
        <v>23</v>
      </c>
    </row>
    <row r="411" spans="1:18" ht="14.25" customHeight="1" x14ac:dyDescent="0.3">
      <c r="A411" s="14">
        <v>45444</v>
      </c>
      <c r="B411" s="15">
        <v>2024</v>
      </c>
      <c r="C411" s="15" t="s">
        <v>43</v>
      </c>
      <c r="D411" s="15" t="s">
        <v>24</v>
      </c>
      <c r="E411" s="15" t="s">
        <v>28</v>
      </c>
      <c r="F411" s="15" t="s">
        <v>29</v>
      </c>
      <c r="G411" s="15" t="s">
        <v>22</v>
      </c>
      <c r="H411" s="16">
        <v>92</v>
      </c>
      <c r="I411" s="17">
        <v>507.75</v>
      </c>
      <c r="J411" s="18">
        <v>0.04</v>
      </c>
      <c r="K411" s="17">
        <v>46713.06</v>
      </c>
      <c r="L411" s="17">
        <v>44844.53</v>
      </c>
      <c r="M411" s="17">
        <v>386.31</v>
      </c>
      <c r="N411" s="17">
        <v>35540.19</v>
      </c>
      <c r="O411" s="17">
        <v>9304.35</v>
      </c>
      <c r="P411" s="18">
        <v>0.20749999999999999</v>
      </c>
      <c r="Q411" s="17">
        <v>919.31</v>
      </c>
      <c r="R411" s="15" t="s">
        <v>23</v>
      </c>
    </row>
    <row r="412" spans="1:18" ht="14.25" customHeight="1" x14ac:dyDescent="0.3">
      <c r="A412" s="14">
        <v>45444</v>
      </c>
      <c r="B412" s="15">
        <v>2024</v>
      </c>
      <c r="C412" s="15" t="s">
        <v>43</v>
      </c>
      <c r="D412" s="15" t="s">
        <v>27</v>
      </c>
      <c r="E412" s="15" t="s">
        <v>31</v>
      </c>
      <c r="F412" s="15" t="s">
        <v>32</v>
      </c>
      <c r="G412" s="15" t="s">
        <v>22</v>
      </c>
      <c r="H412" s="16">
        <v>194</v>
      </c>
      <c r="I412" s="17">
        <v>512.79999999999995</v>
      </c>
      <c r="J412" s="18">
        <v>0.12</v>
      </c>
      <c r="K412" s="17">
        <v>99482.98</v>
      </c>
      <c r="L412" s="17">
        <v>87545.02</v>
      </c>
      <c r="M412" s="17">
        <v>386.31</v>
      </c>
      <c r="N412" s="17">
        <v>74943.44</v>
      </c>
      <c r="O412" s="17">
        <v>12601.58</v>
      </c>
      <c r="P412" s="18">
        <v>0.1439</v>
      </c>
      <c r="Q412" s="17">
        <v>820.06</v>
      </c>
      <c r="R412" s="15" t="s">
        <v>23</v>
      </c>
    </row>
    <row r="413" spans="1:18" ht="14.25" customHeight="1" x14ac:dyDescent="0.3">
      <c r="A413" s="14">
        <v>45444</v>
      </c>
      <c r="B413" s="15">
        <v>2024</v>
      </c>
      <c r="C413" s="15" t="s">
        <v>43</v>
      </c>
      <c r="D413" s="15" t="s">
        <v>30</v>
      </c>
      <c r="E413" s="15" t="s">
        <v>20</v>
      </c>
      <c r="F413" s="15" t="s">
        <v>21</v>
      </c>
      <c r="G413" s="15" t="s">
        <v>22</v>
      </c>
      <c r="H413" s="16">
        <v>113</v>
      </c>
      <c r="I413" s="17">
        <v>497.65</v>
      </c>
      <c r="J413" s="18">
        <v>8.5000000000000006E-2</v>
      </c>
      <c r="K413" s="17">
        <v>56234.01</v>
      </c>
      <c r="L413" s="17">
        <v>51454.13</v>
      </c>
      <c r="M413" s="17">
        <v>386.31</v>
      </c>
      <c r="N413" s="17">
        <v>43652.62</v>
      </c>
      <c r="O413" s="17">
        <v>7801.5</v>
      </c>
      <c r="P413" s="18">
        <v>0.15160000000000001</v>
      </c>
      <c r="Q413" s="17">
        <v>1049.33</v>
      </c>
      <c r="R413" s="15" t="s">
        <v>23</v>
      </c>
    </row>
    <row r="414" spans="1:18" ht="14.25" customHeight="1" x14ac:dyDescent="0.3">
      <c r="A414" s="14">
        <v>45444</v>
      </c>
      <c r="B414" s="15">
        <v>2024</v>
      </c>
      <c r="C414" s="15" t="s">
        <v>43</v>
      </c>
      <c r="D414" s="15" t="s">
        <v>19</v>
      </c>
      <c r="E414" s="15" t="s">
        <v>28</v>
      </c>
      <c r="F414" s="15" t="s">
        <v>29</v>
      </c>
      <c r="G414" s="15" t="s">
        <v>33</v>
      </c>
      <c r="H414" s="16">
        <v>59</v>
      </c>
      <c r="I414" s="17">
        <v>713.5</v>
      </c>
      <c r="J414" s="18">
        <v>0.04</v>
      </c>
      <c r="K414" s="17">
        <v>42096.77</v>
      </c>
      <c r="L414" s="17">
        <v>40412.89</v>
      </c>
      <c r="M414" s="17">
        <v>573.23</v>
      </c>
      <c r="N414" s="17">
        <v>33820.85</v>
      </c>
      <c r="O414" s="17">
        <v>6592.04</v>
      </c>
      <c r="P414" s="18">
        <v>0.16309999999999999</v>
      </c>
      <c r="Q414" s="17">
        <v>837.14</v>
      </c>
      <c r="R414" s="15" t="s">
        <v>23</v>
      </c>
    </row>
    <row r="415" spans="1:18" ht="14.25" customHeight="1" x14ac:dyDescent="0.3">
      <c r="A415" s="14">
        <v>45444</v>
      </c>
      <c r="B415" s="15">
        <v>2024</v>
      </c>
      <c r="C415" s="15" t="s">
        <v>43</v>
      </c>
      <c r="D415" s="15" t="s">
        <v>24</v>
      </c>
      <c r="E415" s="15" t="s">
        <v>31</v>
      </c>
      <c r="F415" s="15" t="s">
        <v>32</v>
      </c>
      <c r="G415" s="15" t="s">
        <v>33</v>
      </c>
      <c r="H415" s="16">
        <v>112</v>
      </c>
      <c r="I415" s="17">
        <v>720.68</v>
      </c>
      <c r="J415" s="18">
        <v>0.12</v>
      </c>
      <c r="K415" s="17">
        <v>80715.649999999994</v>
      </c>
      <c r="L415" s="17">
        <v>71029.78</v>
      </c>
      <c r="M415" s="17">
        <v>573.23</v>
      </c>
      <c r="N415" s="17">
        <v>64202.29</v>
      </c>
      <c r="O415" s="17">
        <v>6827.48</v>
      </c>
      <c r="P415" s="18">
        <v>9.6100000000000005E-2</v>
      </c>
      <c r="Q415" s="17">
        <v>798.2</v>
      </c>
      <c r="R415" s="15" t="s">
        <v>23</v>
      </c>
    </row>
    <row r="416" spans="1:18" ht="14.25" customHeight="1" x14ac:dyDescent="0.3">
      <c r="A416" s="14">
        <v>45444</v>
      </c>
      <c r="B416" s="15">
        <v>2024</v>
      </c>
      <c r="C416" s="15" t="s">
        <v>43</v>
      </c>
      <c r="D416" s="15" t="s">
        <v>27</v>
      </c>
      <c r="E416" s="15" t="s">
        <v>20</v>
      </c>
      <c r="F416" s="15" t="s">
        <v>21</v>
      </c>
      <c r="G416" s="15" t="s">
        <v>33</v>
      </c>
      <c r="H416" s="16">
        <v>117</v>
      </c>
      <c r="I416" s="17">
        <v>727.85</v>
      </c>
      <c r="J416" s="18">
        <v>8.5000000000000006E-2</v>
      </c>
      <c r="K416" s="17">
        <v>85158.02</v>
      </c>
      <c r="L416" s="17">
        <v>77919.59</v>
      </c>
      <c r="M416" s="17">
        <v>573.23</v>
      </c>
      <c r="N416" s="17">
        <v>67068.47</v>
      </c>
      <c r="O416" s="17">
        <v>10851.12</v>
      </c>
      <c r="P416" s="18">
        <v>0.13930000000000001</v>
      </c>
      <c r="Q416" s="17">
        <v>1340.61</v>
      </c>
      <c r="R416" s="15" t="s">
        <v>23</v>
      </c>
    </row>
    <row r="417" spans="1:18" ht="14.25" customHeight="1" x14ac:dyDescent="0.3">
      <c r="A417" s="14">
        <v>45444</v>
      </c>
      <c r="B417" s="15">
        <v>2024</v>
      </c>
      <c r="C417" s="15" t="s">
        <v>43</v>
      </c>
      <c r="D417" s="15" t="s">
        <v>30</v>
      </c>
      <c r="E417" s="15" t="s">
        <v>25</v>
      </c>
      <c r="F417" s="15" t="s">
        <v>26</v>
      </c>
      <c r="G417" s="15" t="s">
        <v>33</v>
      </c>
      <c r="H417" s="16">
        <v>65</v>
      </c>
      <c r="I417" s="17">
        <v>706.33</v>
      </c>
      <c r="J417" s="18">
        <v>5.5E-2</v>
      </c>
      <c r="K417" s="17">
        <v>45911.69</v>
      </c>
      <c r="L417" s="17">
        <v>43386.54</v>
      </c>
      <c r="M417" s="17">
        <v>573.23</v>
      </c>
      <c r="N417" s="17">
        <v>37260.26</v>
      </c>
      <c r="O417" s="17">
        <v>6126.29</v>
      </c>
      <c r="P417" s="18">
        <v>0.14119999999999999</v>
      </c>
      <c r="Q417" s="17">
        <v>862.88</v>
      </c>
      <c r="R417" s="15" t="s">
        <v>23</v>
      </c>
    </row>
    <row r="418" spans="1:18" ht="14.25" customHeight="1" x14ac:dyDescent="0.3">
      <c r="A418" s="14">
        <v>45444</v>
      </c>
      <c r="B418" s="15">
        <v>2024</v>
      </c>
      <c r="C418" s="15" t="s">
        <v>43</v>
      </c>
      <c r="D418" s="15" t="s">
        <v>19</v>
      </c>
      <c r="E418" s="15" t="s">
        <v>25</v>
      </c>
      <c r="F418" s="15" t="s">
        <v>26</v>
      </c>
      <c r="G418" s="15" t="s">
        <v>34</v>
      </c>
      <c r="H418" s="16">
        <v>160</v>
      </c>
      <c r="I418" s="17">
        <v>227.02</v>
      </c>
      <c r="J418" s="18">
        <v>5.5E-2</v>
      </c>
      <c r="K418" s="17">
        <v>36323.230000000003</v>
      </c>
      <c r="L418" s="17">
        <v>34325.449999999997</v>
      </c>
      <c r="M418" s="17">
        <v>157.85</v>
      </c>
      <c r="N418" s="17">
        <v>25255.56</v>
      </c>
      <c r="O418" s="17">
        <v>9069.89</v>
      </c>
      <c r="P418" s="18">
        <v>0.26419999999999999</v>
      </c>
      <c r="Q418" s="17">
        <v>690.93</v>
      </c>
      <c r="R418" s="15" t="s">
        <v>23</v>
      </c>
    </row>
    <row r="419" spans="1:18" ht="14.25" customHeight="1" x14ac:dyDescent="0.3">
      <c r="A419" s="14">
        <v>45444</v>
      </c>
      <c r="B419" s="15">
        <v>2024</v>
      </c>
      <c r="C419" s="15" t="s">
        <v>43</v>
      </c>
      <c r="D419" s="15" t="s">
        <v>24</v>
      </c>
      <c r="E419" s="15" t="s">
        <v>31</v>
      </c>
      <c r="F419" s="15" t="s">
        <v>32</v>
      </c>
      <c r="G419" s="15" t="s">
        <v>34</v>
      </c>
      <c r="H419" s="16">
        <v>242</v>
      </c>
      <c r="I419" s="17">
        <v>229.3</v>
      </c>
      <c r="J419" s="18">
        <v>0.12</v>
      </c>
      <c r="K419" s="17">
        <v>55491.05</v>
      </c>
      <c r="L419" s="17">
        <v>48832.12</v>
      </c>
      <c r="M419" s="17">
        <v>157.85</v>
      </c>
      <c r="N419" s="17">
        <v>38199.03</v>
      </c>
      <c r="O419" s="17">
        <v>10633.09</v>
      </c>
      <c r="P419" s="18">
        <v>0.2177</v>
      </c>
      <c r="Q419" s="17">
        <v>557.54</v>
      </c>
      <c r="R419" s="15" t="s">
        <v>23</v>
      </c>
    </row>
    <row r="420" spans="1:18" ht="14.25" customHeight="1" x14ac:dyDescent="0.3">
      <c r="A420" s="14">
        <v>45444</v>
      </c>
      <c r="B420" s="15">
        <v>2024</v>
      </c>
      <c r="C420" s="15" t="s">
        <v>43</v>
      </c>
      <c r="D420" s="15" t="s">
        <v>27</v>
      </c>
      <c r="E420" s="15" t="s">
        <v>20</v>
      </c>
      <c r="F420" s="15" t="s">
        <v>26</v>
      </c>
      <c r="G420" s="15" t="s">
        <v>34</v>
      </c>
      <c r="H420" s="16">
        <v>236</v>
      </c>
      <c r="I420" s="17">
        <v>231.58</v>
      </c>
      <c r="J420" s="18">
        <v>8.5000000000000006E-2</v>
      </c>
      <c r="K420" s="17">
        <v>54653.71</v>
      </c>
      <c r="L420" s="17">
        <v>50008.14</v>
      </c>
      <c r="M420" s="17">
        <v>157.85</v>
      </c>
      <c r="N420" s="17">
        <v>37251.949999999997</v>
      </c>
      <c r="O420" s="17">
        <v>12756.19</v>
      </c>
      <c r="P420" s="18">
        <v>0.25509999999999999</v>
      </c>
      <c r="Q420" s="17">
        <v>890.96</v>
      </c>
      <c r="R420" s="15" t="s">
        <v>23</v>
      </c>
    </row>
    <row r="421" spans="1:18" ht="14.25" customHeight="1" x14ac:dyDescent="0.3">
      <c r="A421" s="14">
        <v>45444</v>
      </c>
      <c r="B421" s="15">
        <v>2024</v>
      </c>
      <c r="C421" s="15" t="s">
        <v>43</v>
      </c>
      <c r="D421" s="15" t="s">
        <v>30</v>
      </c>
      <c r="E421" s="15" t="s">
        <v>25</v>
      </c>
      <c r="F421" s="15" t="s">
        <v>21</v>
      </c>
      <c r="G421" s="15" t="s">
        <v>34</v>
      </c>
      <c r="H421" s="16">
        <v>124</v>
      </c>
      <c r="I421" s="17">
        <v>224.74</v>
      </c>
      <c r="J421" s="18">
        <v>5.5E-2</v>
      </c>
      <c r="K421" s="17">
        <v>27867.58</v>
      </c>
      <c r="L421" s="17">
        <v>26334.86</v>
      </c>
      <c r="M421" s="17">
        <v>157.85</v>
      </c>
      <c r="N421" s="17">
        <v>19573.060000000001</v>
      </c>
      <c r="O421" s="17">
        <v>6761.8</v>
      </c>
      <c r="P421" s="18">
        <v>0.25679999999999997</v>
      </c>
      <c r="Q421" s="17">
        <v>633.03</v>
      </c>
      <c r="R421" s="15" t="s">
        <v>23</v>
      </c>
    </row>
    <row r="422" spans="1:18" ht="14.25" customHeight="1" x14ac:dyDescent="0.3">
      <c r="A422" s="14">
        <v>45444</v>
      </c>
      <c r="B422" s="15">
        <v>2024</v>
      </c>
      <c r="C422" s="15" t="s">
        <v>43</v>
      </c>
      <c r="D422" s="15" t="s">
        <v>19</v>
      </c>
      <c r="E422" s="15" t="s">
        <v>31</v>
      </c>
      <c r="F422" s="15" t="s">
        <v>32</v>
      </c>
      <c r="G422" s="15" t="s">
        <v>35</v>
      </c>
      <c r="H422" s="16">
        <v>786</v>
      </c>
      <c r="I422" s="17">
        <v>11.35</v>
      </c>
      <c r="J422" s="18">
        <v>0.12</v>
      </c>
      <c r="K422" s="17">
        <v>8923.14</v>
      </c>
      <c r="L422" s="17">
        <v>7852.37</v>
      </c>
      <c r="M422" s="17">
        <v>5.82</v>
      </c>
      <c r="N422" s="17">
        <v>4574.05</v>
      </c>
      <c r="O422" s="17">
        <v>3278.32</v>
      </c>
      <c r="P422" s="18">
        <v>0.41749999999999998</v>
      </c>
      <c r="Q422" s="17">
        <v>250.11</v>
      </c>
      <c r="R422" s="15" t="s">
        <v>23</v>
      </c>
    </row>
    <row r="423" spans="1:18" ht="14.25" customHeight="1" x14ac:dyDescent="0.3">
      <c r="A423" s="14">
        <v>45444</v>
      </c>
      <c r="B423" s="15">
        <v>2024</v>
      </c>
      <c r="C423" s="15" t="s">
        <v>43</v>
      </c>
      <c r="D423" s="15" t="s">
        <v>24</v>
      </c>
      <c r="E423" s="15" t="s">
        <v>20</v>
      </c>
      <c r="F423" s="15" t="s">
        <v>26</v>
      </c>
      <c r="G423" s="15" t="s">
        <v>35</v>
      </c>
      <c r="H423" s="16">
        <v>807</v>
      </c>
      <c r="I423" s="17">
        <v>11.46</v>
      </c>
      <c r="J423" s="18">
        <v>8.5000000000000006E-2</v>
      </c>
      <c r="K423" s="17">
        <v>9251.3700000000008</v>
      </c>
      <c r="L423" s="17">
        <v>8465</v>
      </c>
      <c r="M423" s="17">
        <v>5.82</v>
      </c>
      <c r="N423" s="17">
        <v>4696.26</v>
      </c>
      <c r="O423" s="17">
        <v>3768.75</v>
      </c>
      <c r="P423" s="18">
        <v>0.44519999999999998</v>
      </c>
      <c r="Q423" s="17">
        <v>430.31</v>
      </c>
      <c r="R423" s="15" t="s">
        <v>23</v>
      </c>
    </row>
    <row r="424" spans="1:18" ht="14.25" customHeight="1" x14ac:dyDescent="0.3">
      <c r="A424" s="14">
        <v>45444</v>
      </c>
      <c r="B424" s="15">
        <v>2024</v>
      </c>
      <c r="C424" s="15" t="s">
        <v>43</v>
      </c>
      <c r="D424" s="15" t="s">
        <v>27</v>
      </c>
      <c r="E424" s="15" t="s">
        <v>25</v>
      </c>
      <c r="F424" s="15" t="s">
        <v>21</v>
      </c>
      <c r="G424" s="15" t="s">
        <v>35</v>
      </c>
      <c r="H424" s="16">
        <v>736</v>
      </c>
      <c r="I424" s="17">
        <v>11.58</v>
      </c>
      <c r="J424" s="18">
        <v>5.5E-2</v>
      </c>
      <c r="K424" s="17">
        <v>8525.2000000000007</v>
      </c>
      <c r="L424" s="17">
        <v>8056.32</v>
      </c>
      <c r="M424" s="17">
        <v>5.82</v>
      </c>
      <c r="N424" s="17">
        <v>4283.08</v>
      </c>
      <c r="O424" s="17">
        <v>3773.24</v>
      </c>
      <c r="P424" s="18">
        <v>0.46839999999999998</v>
      </c>
      <c r="Q424" s="17">
        <v>378.4</v>
      </c>
      <c r="R424" s="15" t="s">
        <v>23</v>
      </c>
    </row>
    <row r="425" spans="1:18" ht="14.25" customHeight="1" x14ac:dyDescent="0.3">
      <c r="A425" s="14">
        <v>45444</v>
      </c>
      <c r="B425" s="15">
        <v>2024</v>
      </c>
      <c r="C425" s="15" t="s">
        <v>43</v>
      </c>
      <c r="D425" s="15" t="s">
        <v>30</v>
      </c>
      <c r="E425" s="15" t="s">
        <v>31</v>
      </c>
      <c r="F425" s="15" t="s">
        <v>32</v>
      </c>
      <c r="G425" s="15" t="s">
        <v>35</v>
      </c>
      <c r="H425" s="16">
        <v>617</v>
      </c>
      <c r="I425" s="17">
        <v>11.23</v>
      </c>
      <c r="J425" s="18">
        <v>0.12</v>
      </c>
      <c r="K425" s="17">
        <v>6930.98</v>
      </c>
      <c r="L425" s="17">
        <v>6099.26</v>
      </c>
      <c r="M425" s="17">
        <v>5.82</v>
      </c>
      <c r="N425" s="17">
        <v>3590.57</v>
      </c>
      <c r="O425" s="17">
        <v>2508.69</v>
      </c>
      <c r="P425" s="18">
        <v>0.4113</v>
      </c>
      <c r="Q425" s="17">
        <v>213.58</v>
      </c>
      <c r="R425" s="15" t="s">
        <v>23</v>
      </c>
    </row>
    <row r="426" spans="1:18" ht="14.25" customHeight="1" x14ac:dyDescent="0.3">
      <c r="A426" s="14">
        <v>45444</v>
      </c>
      <c r="B426" s="15">
        <v>2024</v>
      </c>
      <c r="C426" s="15" t="s">
        <v>43</v>
      </c>
      <c r="D426" s="15" t="s">
        <v>19</v>
      </c>
      <c r="E426" s="15" t="s">
        <v>20</v>
      </c>
      <c r="F426" s="15" t="s">
        <v>26</v>
      </c>
      <c r="G426" s="15" t="s">
        <v>36</v>
      </c>
      <c r="H426" s="16">
        <v>246</v>
      </c>
      <c r="I426" s="17">
        <v>68.92</v>
      </c>
      <c r="J426" s="18">
        <v>7.0000000000000007E-2</v>
      </c>
      <c r="K426" s="17">
        <v>16953.96</v>
      </c>
      <c r="L426" s="17">
        <v>15767.19</v>
      </c>
      <c r="M426" s="17">
        <v>14.95</v>
      </c>
      <c r="N426" s="17">
        <v>3678.67</v>
      </c>
      <c r="O426" s="17">
        <v>12088.52</v>
      </c>
      <c r="P426" s="18">
        <v>0.76670000000000005</v>
      </c>
      <c r="Q426" s="17">
        <v>571.38</v>
      </c>
      <c r="R426" s="15" t="s">
        <v>23</v>
      </c>
    </row>
    <row r="427" spans="1:18" ht="14.25" customHeight="1" x14ac:dyDescent="0.3">
      <c r="A427" s="14">
        <v>45444</v>
      </c>
      <c r="B427" s="15">
        <v>2024</v>
      </c>
      <c r="C427" s="15" t="s">
        <v>43</v>
      </c>
      <c r="D427" s="15" t="s">
        <v>24</v>
      </c>
      <c r="E427" s="15" t="s">
        <v>28</v>
      </c>
      <c r="F427" s="15" t="s">
        <v>29</v>
      </c>
      <c r="G427" s="15" t="s">
        <v>36</v>
      </c>
      <c r="H427" s="16">
        <v>157</v>
      </c>
      <c r="I427" s="17">
        <v>69.61</v>
      </c>
      <c r="J427" s="18">
        <v>2.5000000000000001E-2</v>
      </c>
      <c r="K427" s="17">
        <v>10928.8</v>
      </c>
      <c r="L427" s="17">
        <v>10655.58</v>
      </c>
      <c r="M427" s="17">
        <v>14.95</v>
      </c>
      <c r="N427" s="17">
        <v>2347.77</v>
      </c>
      <c r="O427" s="17">
        <v>8307.81</v>
      </c>
      <c r="P427" s="18">
        <v>0.77969999999999995</v>
      </c>
      <c r="Q427" s="17">
        <v>419.31</v>
      </c>
      <c r="R427" s="15" t="s">
        <v>23</v>
      </c>
    </row>
    <row r="428" spans="1:18" ht="14.25" customHeight="1" x14ac:dyDescent="0.3">
      <c r="A428" s="14">
        <v>45444</v>
      </c>
      <c r="B428" s="15">
        <v>2024</v>
      </c>
      <c r="C428" s="15" t="s">
        <v>43</v>
      </c>
      <c r="D428" s="15" t="s">
        <v>27</v>
      </c>
      <c r="E428" s="15" t="s">
        <v>31</v>
      </c>
      <c r="F428" s="15" t="s">
        <v>32</v>
      </c>
      <c r="G428" s="15" t="s">
        <v>36</v>
      </c>
      <c r="H428" s="16">
        <v>299</v>
      </c>
      <c r="I428" s="17">
        <v>70.3</v>
      </c>
      <c r="J428" s="18">
        <v>0.105</v>
      </c>
      <c r="K428" s="17">
        <v>21020.25</v>
      </c>
      <c r="L428" s="17">
        <v>18813.13</v>
      </c>
      <c r="M428" s="17">
        <v>14.95</v>
      </c>
      <c r="N428" s="17">
        <v>4471.2299999999996</v>
      </c>
      <c r="O428" s="17">
        <v>14341.9</v>
      </c>
      <c r="P428" s="18">
        <v>0.76229999999999998</v>
      </c>
      <c r="Q428" s="17">
        <v>402.66</v>
      </c>
      <c r="R428" s="15" t="s">
        <v>23</v>
      </c>
    </row>
    <row r="429" spans="1:18" ht="14.25" customHeight="1" x14ac:dyDescent="0.3">
      <c r="A429" s="14">
        <v>45444</v>
      </c>
      <c r="B429" s="15">
        <v>2024</v>
      </c>
      <c r="C429" s="15" t="s">
        <v>43</v>
      </c>
      <c r="D429" s="15" t="s">
        <v>30</v>
      </c>
      <c r="E429" s="15" t="s">
        <v>20</v>
      </c>
      <c r="F429" s="15" t="s">
        <v>21</v>
      </c>
      <c r="G429" s="15" t="s">
        <v>36</v>
      </c>
      <c r="H429" s="16">
        <v>196</v>
      </c>
      <c r="I429" s="17">
        <v>68.23</v>
      </c>
      <c r="J429" s="18">
        <v>7.0000000000000007E-2</v>
      </c>
      <c r="K429" s="17">
        <v>13372.47</v>
      </c>
      <c r="L429" s="17">
        <v>12436.4</v>
      </c>
      <c r="M429" s="17">
        <v>14.95</v>
      </c>
      <c r="N429" s="17">
        <v>2930.97</v>
      </c>
      <c r="O429" s="17">
        <v>9505.43</v>
      </c>
      <c r="P429" s="18">
        <v>0.76429999999999998</v>
      </c>
      <c r="Q429" s="17">
        <v>512.19000000000005</v>
      </c>
      <c r="R429" s="15" t="s">
        <v>23</v>
      </c>
    </row>
    <row r="430" spans="1:18" ht="14.25" customHeight="1" x14ac:dyDescent="0.3">
      <c r="A430" s="14">
        <v>45444</v>
      </c>
      <c r="B430" s="15">
        <v>2024</v>
      </c>
      <c r="C430" s="15" t="s">
        <v>43</v>
      </c>
      <c r="D430" s="15" t="s">
        <v>19</v>
      </c>
      <c r="E430" s="15" t="s">
        <v>25</v>
      </c>
      <c r="F430" s="15" t="s">
        <v>21</v>
      </c>
      <c r="G430" s="15" t="s">
        <v>37</v>
      </c>
      <c r="H430" s="16">
        <v>170</v>
      </c>
      <c r="I430" s="17">
        <v>52.7</v>
      </c>
      <c r="J430" s="18">
        <v>0.04</v>
      </c>
      <c r="K430" s="17">
        <v>8959.09</v>
      </c>
      <c r="L430" s="17">
        <v>8600.73</v>
      </c>
      <c r="M430" s="17">
        <v>7.47</v>
      </c>
      <c r="N430" s="17">
        <v>1270.4100000000001</v>
      </c>
      <c r="O430" s="17">
        <v>7330.32</v>
      </c>
      <c r="P430" s="18">
        <v>0.85229999999999995</v>
      </c>
      <c r="Q430" s="17">
        <v>290.38</v>
      </c>
      <c r="R430" s="15" t="s">
        <v>23</v>
      </c>
    </row>
    <row r="431" spans="1:18" ht="14.25" customHeight="1" x14ac:dyDescent="0.3">
      <c r="A431" s="14">
        <v>45444</v>
      </c>
      <c r="B431" s="15">
        <v>2024</v>
      </c>
      <c r="C431" s="15" t="s">
        <v>43</v>
      </c>
      <c r="D431" s="15" t="s">
        <v>24</v>
      </c>
      <c r="E431" s="15" t="s">
        <v>28</v>
      </c>
      <c r="F431" s="15" t="s">
        <v>32</v>
      </c>
      <c r="G431" s="15" t="s">
        <v>37</v>
      </c>
      <c r="H431" s="16">
        <v>121</v>
      </c>
      <c r="I431" s="17">
        <v>53.23</v>
      </c>
      <c r="J431" s="18">
        <v>2.5000000000000001E-2</v>
      </c>
      <c r="K431" s="17">
        <v>6441.22</v>
      </c>
      <c r="L431" s="17">
        <v>6280.19</v>
      </c>
      <c r="M431" s="17">
        <v>7.47</v>
      </c>
      <c r="N431" s="17">
        <v>904.23</v>
      </c>
      <c r="O431" s="17">
        <v>5375.96</v>
      </c>
      <c r="P431" s="18">
        <v>0.85599999999999998</v>
      </c>
      <c r="Q431" s="17">
        <v>270.86</v>
      </c>
      <c r="R431" s="15" t="s">
        <v>23</v>
      </c>
    </row>
    <row r="432" spans="1:18" ht="14.25" customHeight="1" x14ac:dyDescent="0.3">
      <c r="A432" s="14">
        <v>45444</v>
      </c>
      <c r="B432" s="15">
        <v>2024</v>
      </c>
      <c r="C432" s="15" t="s">
        <v>43</v>
      </c>
      <c r="D432" s="15" t="s">
        <v>27</v>
      </c>
      <c r="E432" s="15" t="s">
        <v>20</v>
      </c>
      <c r="F432" s="15" t="s">
        <v>21</v>
      </c>
      <c r="G432" s="15" t="s">
        <v>37</v>
      </c>
      <c r="H432" s="16">
        <v>251</v>
      </c>
      <c r="I432" s="17">
        <v>53.76</v>
      </c>
      <c r="J432" s="18">
        <v>7.0000000000000007E-2</v>
      </c>
      <c r="K432" s="17">
        <v>13493.23</v>
      </c>
      <c r="L432" s="17">
        <v>12548.71</v>
      </c>
      <c r="M432" s="17">
        <v>7.47</v>
      </c>
      <c r="N432" s="17">
        <v>1875.72</v>
      </c>
      <c r="O432" s="17">
        <v>10672.99</v>
      </c>
      <c r="P432" s="18">
        <v>0.85050000000000003</v>
      </c>
      <c r="Q432" s="17">
        <v>384.06</v>
      </c>
      <c r="R432" s="15" t="s">
        <v>23</v>
      </c>
    </row>
    <row r="433" spans="1:18" ht="14.25" customHeight="1" x14ac:dyDescent="0.3">
      <c r="A433" s="14">
        <v>45444</v>
      </c>
      <c r="B433" s="15">
        <v>2024</v>
      </c>
      <c r="C433" s="15" t="s">
        <v>43</v>
      </c>
      <c r="D433" s="15" t="s">
        <v>30</v>
      </c>
      <c r="E433" s="15" t="s">
        <v>25</v>
      </c>
      <c r="F433" s="15" t="s">
        <v>26</v>
      </c>
      <c r="G433" s="15" t="s">
        <v>37</v>
      </c>
      <c r="H433" s="16">
        <v>132</v>
      </c>
      <c r="I433" s="17">
        <v>52.18</v>
      </c>
      <c r="J433" s="18">
        <v>0.04</v>
      </c>
      <c r="K433" s="17">
        <v>6887.21</v>
      </c>
      <c r="L433" s="17">
        <v>6611.72</v>
      </c>
      <c r="M433" s="17">
        <v>7.47</v>
      </c>
      <c r="N433" s="17">
        <v>986.44</v>
      </c>
      <c r="O433" s="17">
        <v>5625.28</v>
      </c>
      <c r="P433" s="18">
        <v>0.8508</v>
      </c>
      <c r="Q433" s="17">
        <v>265.18</v>
      </c>
      <c r="R433" s="15" t="s">
        <v>23</v>
      </c>
    </row>
    <row r="434" spans="1:18" ht="14.25" customHeight="1" x14ac:dyDescent="0.3">
      <c r="A434" s="14">
        <v>45474</v>
      </c>
      <c r="B434" s="15">
        <v>2024</v>
      </c>
      <c r="C434" s="15" t="s">
        <v>44</v>
      </c>
      <c r="D434" s="15" t="s">
        <v>19</v>
      </c>
      <c r="E434" s="15" t="s">
        <v>28</v>
      </c>
      <c r="F434" s="15" t="s">
        <v>29</v>
      </c>
      <c r="G434" s="15" t="s">
        <v>22</v>
      </c>
      <c r="H434" s="16">
        <v>109</v>
      </c>
      <c r="I434" s="17">
        <v>502.69</v>
      </c>
      <c r="J434" s="18">
        <v>6.5000000000000002E-2</v>
      </c>
      <c r="K434" s="17">
        <v>54793.69</v>
      </c>
      <c r="L434" s="17">
        <v>51232.1</v>
      </c>
      <c r="M434" s="17">
        <v>386.31</v>
      </c>
      <c r="N434" s="17">
        <v>42107.4</v>
      </c>
      <c r="O434" s="17">
        <v>9124.7000000000007</v>
      </c>
      <c r="P434" s="18">
        <v>0.17810000000000001</v>
      </c>
      <c r="Q434" s="17">
        <v>1260.73</v>
      </c>
      <c r="R434" s="15" t="s">
        <v>40</v>
      </c>
    </row>
    <row r="435" spans="1:18" ht="14.25" customHeight="1" x14ac:dyDescent="0.3">
      <c r="A435" s="14">
        <v>45474</v>
      </c>
      <c r="B435" s="15">
        <v>2024</v>
      </c>
      <c r="C435" s="15" t="s">
        <v>44</v>
      </c>
      <c r="D435" s="15" t="s">
        <v>24</v>
      </c>
      <c r="E435" s="15" t="s">
        <v>31</v>
      </c>
      <c r="F435" s="15" t="s">
        <v>32</v>
      </c>
      <c r="G435" s="15" t="s">
        <v>22</v>
      </c>
      <c r="H435" s="16">
        <v>236</v>
      </c>
      <c r="I435" s="17">
        <v>507.75</v>
      </c>
      <c r="J435" s="18">
        <v>0.14499999999999999</v>
      </c>
      <c r="K435" s="17">
        <v>119829.14</v>
      </c>
      <c r="L435" s="17">
        <v>102453.92</v>
      </c>
      <c r="M435" s="17">
        <v>386.31</v>
      </c>
      <c r="N435" s="17">
        <v>91168.31</v>
      </c>
      <c r="O435" s="17">
        <v>11285.61</v>
      </c>
      <c r="P435" s="18">
        <v>0.11020000000000001</v>
      </c>
      <c r="Q435" s="17">
        <v>1161.8399999999999</v>
      </c>
      <c r="R435" s="15" t="s">
        <v>40</v>
      </c>
    </row>
    <row r="436" spans="1:18" ht="14.25" customHeight="1" x14ac:dyDescent="0.3">
      <c r="A436" s="14">
        <v>45474</v>
      </c>
      <c r="B436" s="15">
        <v>2024</v>
      </c>
      <c r="C436" s="15" t="s">
        <v>44</v>
      </c>
      <c r="D436" s="15" t="s">
        <v>27</v>
      </c>
      <c r="E436" s="15" t="s">
        <v>20</v>
      </c>
      <c r="F436" s="15" t="s">
        <v>21</v>
      </c>
      <c r="G436" s="15" t="s">
        <v>22</v>
      </c>
      <c r="H436" s="16">
        <v>228</v>
      </c>
      <c r="I436" s="17">
        <v>512.79999999999995</v>
      </c>
      <c r="J436" s="18">
        <v>0.11</v>
      </c>
      <c r="K436" s="17">
        <v>116918.14</v>
      </c>
      <c r="L436" s="17">
        <v>104057.14</v>
      </c>
      <c r="M436" s="17">
        <v>386.31</v>
      </c>
      <c r="N436" s="17">
        <v>88077.86</v>
      </c>
      <c r="O436" s="17">
        <v>15979.29</v>
      </c>
      <c r="P436" s="18">
        <v>0.15359999999999999</v>
      </c>
      <c r="Q436" s="17">
        <v>1919.62</v>
      </c>
      <c r="R436" s="15" t="s">
        <v>40</v>
      </c>
    </row>
    <row r="437" spans="1:18" ht="14.25" customHeight="1" x14ac:dyDescent="0.3">
      <c r="A437" s="14">
        <v>45474</v>
      </c>
      <c r="B437" s="15">
        <v>2024</v>
      </c>
      <c r="C437" s="15" t="s">
        <v>44</v>
      </c>
      <c r="D437" s="15" t="s">
        <v>30</v>
      </c>
      <c r="E437" s="15" t="s">
        <v>25</v>
      </c>
      <c r="F437" s="15" t="s">
        <v>26</v>
      </c>
      <c r="G437" s="15" t="s">
        <v>22</v>
      </c>
      <c r="H437" s="16">
        <v>141</v>
      </c>
      <c r="I437" s="17">
        <v>497.65</v>
      </c>
      <c r="J437" s="18">
        <v>0.08</v>
      </c>
      <c r="K437" s="17">
        <v>70168.11</v>
      </c>
      <c r="L437" s="17">
        <v>64554.66</v>
      </c>
      <c r="M437" s="17">
        <v>386.31</v>
      </c>
      <c r="N437" s="17">
        <v>54469.2</v>
      </c>
      <c r="O437" s="17">
        <v>10085.459999999999</v>
      </c>
      <c r="P437" s="18">
        <v>0.15620000000000001</v>
      </c>
      <c r="Q437" s="17">
        <v>1304.8599999999999</v>
      </c>
      <c r="R437" s="15" t="s">
        <v>40</v>
      </c>
    </row>
    <row r="438" spans="1:18" ht="14.25" customHeight="1" x14ac:dyDescent="0.3">
      <c r="A438" s="14">
        <v>45474</v>
      </c>
      <c r="B438" s="15">
        <v>2024</v>
      </c>
      <c r="C438" s="15" t="s">
        <v>44</v>
      </c>
      <c r="D438" s="15" t="s">
        <v>19</v>
      </c>
      <c r="E438" s="15" t="s">
        <v>31</v>
      </c>
      <c r="F438" s="15" t="s">
        <v>32</v>
      </c>
      <c r="G438" s="15" t="s">
        <v>33</v>
      </c>
      <c r="H438" s="16">
        <v>145</v>
      </c>
      <c r="I438" s="17">
        <v>713.5</v>
      </c>
      <c r="J438" s="18">
        <v>0.14499999999999999</v>
      </c>
      <c r="K438" s="17">
        <v>103458.16</v>
      </c>
      <c r="L438" s="17">
        <v>88456.72</v>
      </c>
      <c r="M438" s="17">
        <v>573.23</v>
      </c>
      <c r="N438" s="17">
        <v>83119.039999999994</v>
      </c>
      <c r="O438" s="17">
        <v>5337.69</v>
      </c>
      <c r="P438" s="18">
        <v>6.0299999999999999E-2</v>
      </c>
      <c r="Q438" s="17">
        <v>1050.07</v>
      </c>
      <c r="R438" s="15" t="s">
        <v>40</v>
      </c>
    </row>
    <row r="439" spans="1:18" ht="14.25" customHeight="1" x14ac:dyDescent="0.3">
      <c r="A439" s="14">
        <v>45474</v>
      </c>
      <c r="B439" s="15">
        <v>2024</v>
      </c>
      <c r="C439" s="15" t="s">
        <v>44</v>
      </c>
      <c r="D439" s="15" t="s">
        <v>24</v>
      </c>
      <c r="E439" s="15" t="s">
        <v>20</v>
      </c>
      <c r="F439" s="15" t="s">
        <v>21</v>
      </c>
      <c r="G439" s="15" t="s">
        <v>33</v>
      </c>
      <c r="H439" s="16">
        <v>156</v>
      </c>
      <c r="I439" s="17">
        <v>720.68</v>
      </c>
      <c r="J439" s="18">
        <v>0.11</v>
      </c>
      <c r="K439" s="17">
        <v>112425.37</v>
      </c>
      <c r="L439" s="17">
        <v>100058.58</v>
      </c>
      <c r="M439" s="17">
        <v>573.23</v>
      </c>
      <c r="N439" s="17">
        <v>89424.62</v>
      </c>
      <c r="O439" s="17">
        <v>10633.96</v>
      </c>
      <c r="P439" s="18">
        <v>0.10630000000000001</v>
      </c>
      <c r="Q439" s="17">
        <v>1864.15</v>
      </c>
      <c r="R439" s="15" t="s">
        <v>40</v>
      </c>
    </row>
    <row r="440" spans="1:18" ht="14.25" customHeight="1" x14ac:dyDescent="0.3">
      <c r="A440" s="14">
        <v>45474</v>
      </c>
      <c r="B440" s="15">
        <v>2024</v>
      </c>
      <c r="C440" s="15" t="s">
        <v>44</v>
      </c>
      <c r="D440" s="15" t="s">
        <v>27</v>
      </c>
      <c r="E440" s="15" t="s">
        <v>25</v>
      </c>
      <c r="F440" s="15" t="s">
        <v>26</v>
      </c>
      <c r="G440" s="15" t="s">
        <v>33</v>
      </c>
      <c r="H440" s="16">
        <v>141</v>
      </c>
      <c r="I440" s="17">
        <v>727.85</v>
      </c>
      <c r="J440" s="18">
        <v>0.08</v>
      </c>
      <c r="K440" s="17">
        <v>102626.34</v>
      </c>
      <c r="L440" s="17">
        <v>94416.23</v>
      </c>
      <c r="M440" s="17">
        <v>573.23</v>
      </c>
      <c r="N440" s="17">
        <v>80826.100000000006</v>
      </c>
      <c r="O440" s="17">
        <v>13590.13</v>
      </c>
      <c r="P440" s="18">
        <v>0.1439</v>
      </c>
      <c r="Q440" s="17">
        <v>1676.34</v>
      </c>
      <c r="R440" s="15" t="s">
        <v>40</v>
      </c>
    </row>
    <row r="441" spans="1:18" ht="14.25" customHeight="1" x14ac:dyDescent="0.3">
      <c r="A441" s="14">
        <v>45474</v>
      </c>
      <c r="B441" s="15">
        <v>2024</v>
      </c>
      <c r="C441" s="15" t="s">
        <v>44</v>
      </c>
      <c r="D441" s="15" t="s">
        <v>30</v>
      </c>
      <c r="E441" s="15" t="s">
        <v>28</v>
      </c>
      <c r="F441" s="15" t="s">
        <v>29</v>
      </c>
      <c r="G441" s="15" t="s">
        <v>33</v>
      </c>
      <c r="H441" s="16">
        <v>59</v>
      </c>
      <c r="I441" s="17">
        <v>706.33</v>
      </c>
      <c r="J441" s="18">
        <v>6.5000000000000002E-2</v>
      </c>
      <c r="K441" s="17">
        <v>41673.69</v>
      </c>
      <c r="L441" s="17">
        <v>38964.9</v>
      </c>
      <c r="M441" s="17">
        <v>573.23</v>
      </c>
      <c r="N441" s="17">
        <v>33820.85</v>
      </c>
      <c r="O441" s="17">
        <v>5144.05</v>
      </c>
      <c r="P441" s="18">
        <v>0.13200000000000001</v>
      </c>
      <c r="Q441" s="17">
        <v>1080.4000000000001</v>
      </c>
      <c r="R441" s="15" t="s">
        <v>40</v>
      </c>
    </row>
    <row r="442" spans="1:18" ht="14.25" customHeight="1" x14ac:dyDescent="0.3">
      <c r="A442" s="14">
        <v>45474</v>
      </c>
      <c r="B442" s="15">
        <v>2024</v>
      </c>
      <c r="C442" s="15" t="s">
        <v>44</v>
      </c>
      <c r="D442" s="15" t="s">
        <v>19</v>
      </c>
      <c r="E442" s="15" t="s">
        <v>31</v>
      </c>
      <c r="F442" s="15" t="s">
        <v>32</v>
      </c>
      <c r="G442" s="15" t="s">
        <v>34</v>
      </c>
      <c r="H442" s="16">
        <v>294</v>
      </c>
      <c r="I442" s="17">
        <v>227.02</v>
      </c>
      <c r="J442" s="18">
        <v>0.14499999999999999</v>
      </c>
      <c r="K442" s="17">
        <v>66743.94</v>
      </c>
      <c r="L442" s="17">
        <v>57066.07</v>
      </c>
      <c r="M442" s="17">
        <v>157.85</v>
      </c>
      <c r="N442" s="17">
        <v>46407.09</v>
      </c>
      <c r="O442" s="17">
        <v>10658.98</v>
      </c>
      <c r="P442" s="18">
        <v>0.18679999999999999</v>
      </c>
      <c r="Q442" s="17">
        <v>749.72</v>
      </c>
      <c r="R442" s="15" t="s">
        <v>40</v>
      </c>
    </row>
    <row r="443" spans="1:18" ht="14.25" customHeight="1" x14ac:dyDescent="0.3">
      <c r="A443" s="14">
        <v>45474</v>
      </c>
      <c r="B443" s="15">
        <v>2024</v>
      </c>
      <c r="C443" s="15" t="s">
        <v>44</v>
      </c>
      <c r="D443" s="15" t="s">
        <v>24</v>
      </c>
      <c r="E443" s="15" t="s">
        <v>20</v>
      </c>
      <c r="F443" s="15" t="s">
        <v>26</v>
      </c>
      <c r="G443" s="15" t="s">
        <v>34</v>
      </c>
      <c r="H443" s="16">
        <v>309</v>
      </c>
      <c r="I443" s="17">
        <v>229.3</v>
      </c>
      <c r="J443" s="18">
        <v>0.11</v>
      </c>
      <c r="K443" s="17">
        <v>70854.27</v>
      </c>
      <c r="L443" s="17">
        <v>63060.3</v>
      </c>
      <c r="M443" s="17">
        <v>157.85</v>
      </c>
      <c r="N443" s="17">
        <v>48774.8</v>
      </c>
      <c r="O443" s="17">
        <v>14285.5</v>
      </c>
      <c r="P443" s="18">
        <v>0.22650000000000001</v>
      </c>
      <c r="Q443" s="17">
        <v>1331.03</v>
      </c>
      <c r="R443" s="15" t="s">
        <v>40</v>
      </c>
    </row>
    <row r="444" spans="1:18" ht="14.25" customHeight="1" x14ac:dyDescent="0.3">
      <c r="A444" s="14">
        <v>45474</v>
      </c>
      <c r="B444" s="15">
        <v>2024</v>
      </c>
      <c r="C444" s="15" t="s">
        <v>44</v>
      </c>
      <c r="D444" s="15" t="s">
        <v>27</v>
      </c>
      <c r="E444" s="15" t="s">
        <v>25</v>
      </c>
      <c r="F444" s="15" t="s">
        <v>21</v>
      </c>
      <c r="G444" s="15" t="s">
        <v>34</v>
      </c>
      <c r="H444" s="16">
        <v>280</v>
      </c>
      <c r="I444" s="17">
        <v>231.58</v>
      </c>
      <c r="J444" s="18">
        <v>0.08</v>
      </c>
      <c r="K444" s="17">
        <v>64843.38</v>
      </c>
      <c r="L444" s="17">
        <v>59655.91</v>
      </c>
      <c r="M444" s="17">
        <v>157.85</v>
      </c>
      <c r="N444" s="17">
        <v>44197.23</v>
      </c>
      <c r="O444" s="17">
        <v>15458.68</v>
      </c>
      <c r="P444" s="18">
        <v>0.2591</v>
      </c>
      <c r="Q444" s="17">
        <v>1158.1600000000001</v>
      </c>
      <c r="R444" s="15" t="s">
        <v>40</v>
      </c>
    </row>
    <row r="445" spans="1:18" ht="14.25" customHeight="1" x14ac:dyDescent="0.3">
      <c r="A445" s="14">
        <v>45474</v>
      </c>
      <c r="B445" s="15">
        <v>2024</v>
      </c>
      <c r="C445" s="15" t="s">
        <v>44</v>
      </c>
      <c r="D445" s="15" t="s">
        <v>30</v>
      </c>
      <c r="E445" s="15" t="s">
        <v>31</v>
      </c>
      <c r="F445" s="15" t="s">
        <v>32</v>
      </c>
      <c r="G445" s="15" t="s">
        <v>34</v>
      </c>
      <c r="H445" s="16">
        <v>227</v>
      </c>
      <c r="I445" s="17">
        <v>224.74</v>
      </c>
      <c r="J445" s="18">
        <v>0.14499999999999999</v>
      </c>
      <c r="K445" s="17">
        <v>51015.65</v>
      </c>
      <c r="L445" s="17">
        <v>43618.38</v>
      </c>
      <c r="M445" s="17">
        <v>157.85</v>
      </c>
      <c r="N445" s="17">
        <v>35831.33</v>
      </c>
      <c r="O445" s="17">
        <v>7787.06</v>
      </c>
      <c r="P445" s="18">
        <v>0.17849999999999999</v>
      </c>
      <c r="Q445" s="17">
        <v>669.79</v>
      </c>
      <c r="R445" s="15" t="s">
        <v>40</v>
      </c>
    </row>
    <row r="446" spans="1:18" ht="14.25" customHeight="1" x14ac:dyDescent="0.3">
      <c r="A446" s="14">
        <v>45474</v>
      </c>
      <c r="B446" s="15">
        <v>2024</v>
      </c>
      <c r="C446" s="15" t="s">
        <v>44</v>
      </c>
      <c r="D446" s="15" t="s">
        <v>19</v>
      </c>
      <c r="E446" s="15" t="s">
        <v>20</v>
      </c>
      <c r="F446" s="15" t="s">
        <v>26</v>
      </c>
      <c r="G446" s="15" t="s">
        <v>35</v>
      </c>
      <c r="H446" s="16">
        <v>1012</v>
      </c>
      <c r="I446" s="17">
        <v>11.35</v>
      </c>
      <c r="J446" s="18">
        <v>0.11</v>
      </c>
      <c r="K446" s="17">
        <v>11488.83</v>
      </c>
      <c r="L446" s="17">
        <v>10225.06</v>
      </c>
      <c r="M446" s="17">
        <v>5.82</v>
      </c>
      <c r="N446" s="17">
        <v>5889.23</v>
      </c>
      <c r="O446" s="17">
        <v>4335.83</v>
      </c>
      <c r="P446" s="18">
        <v>0.42399999999999999</v>
      </c>
      <c r="Q446" s="17">
        <v>573.89</v>
      </c>
      <c r="R446" s="15" t="s">
        <v>40</v>
      </c>
    </row>
    <row r="447" spans="1:18" ht="14.25" customHeight="1" x14ac:dyDescent="0.3">
      <c r="A447" s="14">
        <v>45474</v>
      </c>
      <c r="B447" s="15">
        <v>2024</v>
      </c>
      <c r="C447" s="15" t="s">
        <v>44</v>
      </c>
      <c r="D447" s="15" t="s">
        <v>24</v>
      </c>
      <c r="E447" s="15" t="s">
        <v>25</v>
      </c>
      <c r="F447" s="15" t="s">
        <v>21</v>
      </c>
      <c r="G447" s="15" t="s">
        <v>35</v>
      </c>
      <c r="H447" s="16">
        <v>855</v>
      </c>
      <c r="I447" s="17">
        <v>11.46</v>
      </c>
      <c r="J447" s="18">
        <v>0.08</v>
      </c>
      <c r="K447" s="17">
        <v>9801.6299999999992</v>
      </c>
      <c r="L447" s="17">
        <v>9017.5</v>
      </c>
      <c r="M447" s="17">
        <v>5.82</v>
      </c>
      <c r="N447" s="17">
        <v>4975.59</v>
      </c>
      <c r="O447" s="17">
        <v>4041.92</v>
      </c>
      <c r="P447" s="18">
        <v>0.44819999999999999</v>
      </c>
      <c r="Q447" s="17">
        <v>518.44000000000005</v>
      </c>
      <c r="R447" s="15" t="s">
        <v>40</v>
      </c>
    </row>
    <row r="448" spans="1:18" ht="14.25" customHeight="1" x14ac:dyDescent="0.3">
      <c r="A448" s="14">
        <v>45474</v>
      </c>
      <c r="B448" s="15">
        <v>2024</v>
      </c>
      <c r="C448" s="15" t="s">
        <v>44</v>
      </c>
      <c r="D448" s="15" t="s">
        <v>27</v>
      </c>
      <c r="E448" s="15" t="s">
        <v>31</v>
      </c>
      <c r="F448" s="15" t="s">
        <v>32</v>
      </c>
      <c r="G448" s="15" t="s">
        <v>35</v>
      </c>
      <c r="H448" s="16">
        <v>1196</v>
      </c>
      <c r="I448" s="17">
        <v>11.58</v>
      </c>
      <c r="J448" s="18">
        <v>0.14499999999999999</v>
      </c>
      <c r="K448" s="17">
        <v>13853.45</v>
      </c>
      <c r="L448" s="17">
        <v>11844.7</v>
      </c>
      <c r="M448" s="17">
        <v>5.82</v>
      </c>
      <c r="N448" s="17">
        <v>6960</v>
      </c>
      <c r="O448" s="17">
        <v>4884.6899999999996</v>
      </c>
      <c r="P448" s="18">
        <v>0.41239999999999999</v>
      </c>
      <c r="Q448" s="17">
        <v>416.9</v>
      </c>
      <c r="R448" s="15" t="s">
        <v>40</v>
      </c>
    </row>
    <row r="449" spans="1:18" ht="14.25" customHeight="1" x14ac:dyDescent="0.3">
      <c r="A449" s="14">
        <v>45474</v>
      </c>
      <c r="B449" s="15">
        <v>2024</v>
      </c>
      <c r="C449" s="15" t="s">
        <v>44</v>
      </c>
      <c r="D449" s="15" t="s">
        <v>30</v>
      </c>
      <c r="E449" s="15" t="s">
        <v>20</v>
      </c>
      <c r="F449" s="15" t="s">
        <v>21</v>
      </c>
      <c r="G449" s="15" t="s">
        <v>35</v>
      </c>
      <c r="H449" s="16">
        <v>705</v>
      </c>
      <c r="I449" s="17">
        <v>11.23</v>
      </c>
      <c r="J449" s="18">
        <v>0.11</v>
      </c>
      <c r="K449" s="17">
        <v>7919.51</v>
      </c>
      <c r="L449" s="17">
        <v>7048.37</v>
      </c>
      <c r="M449" s="17">
        <v>5.82</v>
      </c>
      <c r="N449" s="17">
        <v>4102.68</v>
      </c>
      <c r="O449" s="17">
        <v>2945.69</v>
      </c>
      <c r="P449" s="18">
        <v>0.41789999999999999</v>
      </c>
      <c r="Q449" s="17">
        <v>496.88</v>
      </c>
      <c r="R449" s="15" t="s">
        <v>40</v>
      </c>
    </row>
    <row r="450" spans="1:18" ht="14.25" customHeight="1" x14ac:dyDescent="0.3">
      <c r="A450" s="14">
        <v>45474</v>
      </c>
      <c r="B450" s="15">
        <v>2024</v>
      </c>
      <c r="C450" s="15" t="s">
        <v>44</v>
      </c>
      <c r="D450" s="15" t="s">
        <v>19</v>
      </c>
      <c r="E450" s="15" t="s">
        <v>28</v>
      </c>
      <c r="F450" s="15" t="s">
        <v>29</v>
      </c>
      <c r="G450" s="15" t="s">
        <v>36</v>
      </c>
      <c r="H450" s="16">
        <v>178</v>
      </c>
      <c r="I450" s="17">
        <v>68.92</v>
      </c>
      <c r="J450" s="18">
        <v>0.05</v>
      </c>
      <c r="K450" s="17">
        <v>12267.5</v>
      </c>
      <c r="L450" s="17">
        <v>11654.13</v>
      </c>
      <c r="M450" s="17">
        <v>14.95</v>
      </c>
      <c r="N450" s="17">
        <v>2661.8</v>
      </c>
      <c r="O450" s="17">
        <v>8992.32</v>
      </c>
      <c r="P450" s="18">
        <v>0.77159999999999995</v>
      </c>
      <c r="Q450" s="17">
        <v>580.5</v>
      </c>
      <c r="R450" s="15" t="s">
        <v>40</v>
      </c>
    </row>
    <row r="451" spans="1:18" ht="14.25" customHeight="1" x14ac:dyDescent="0.3">
      <c r="A451" s="14">
        <v>45474</v>
      </c>
      <c r="B451" s="15">
        <v>2024</v>
      </c>
      <c r="C451" s="15" t="s">
        <v>44</v>
      </c>
      <c r="D451" s="15" t="s">
        <v>24</v>
      </c>
      <c r="E451" s="15" t="s">
        <v>31</v>
      </c>
      <c r="F451" s="15" t="s">
        <v>32</v>
      </c>
      <c r="G451" s="15" t="s">
        <v>36</v>
      </c>
      <c r="H451" s="16">
        <v>380</v>
      </c>
      <c r="I451" s="17">
        <v>69.61</v>
      </c>
      <c r="J451" s="18">
        <v>0.13</v>
      </c>
      <c r="K451" s="17">
        <v>26451.88</v>
      </c>
      <c r="L451" s="17">
        <v>23013.14</v>
      </c>
      <c r="M451" s="17">
        <v>14.95</v>
      </c>
      <c r="N451" s="17">
        <v>5682.5</v>
      </c>
      <c r="O451" s="17">
        <v>17330.63</v>
      </c>
      <c r="P451" s="18">
        <v>0.75309999999999999</v>
      </c>
      <c r="Q451" s="17">
        <v>568.45000000000005</v>
      </c>
      <c r="R451" s="15" t="s">
        <v>40</v>
      </c>
    </row>
    <row r="452" spans="1:18" ht="14.25" customHeight="1" x14ac:dyDescent="0.3">
      <c r="A452" s="14">
        <v>45474</v>
      </c>
      <c r="B452" s="15">
        <v>2024</v>
      </c>
      <c r="C452" s="15" t="s">
        <v>44</v>
      </c>
      <c r="D452" s="15" t="s">
        <v>27</v>
      </c>
      <c r="E452" s="15" t="s">
        <v>20</v>
      </c>
      <c r="F452" s="15" t="s">
        <v>21</v>
      </c>
      <c r="G452" s="15" t="s">
        <v>36</v>
      </c>
      <c r="H452" s="16">
        <v>392</v>
      </c>
      <c r="I452" s="17">
        <v>70.3</v>
      </c>
      <c r="J452" s="18">
        <v>9.5000000000000001E-2</v>
      </c>
      <c r="K452" s="17">
        <v>27558.33</v>
      </c>
      <c r="L452" s="17">
        <v>24940.29</v>
      </c>
      <c r="M452" s="17">
        <v>14.95</v>
      </c>
      <c r="N452" s="17">
        <v>5861.95</v>
      </c>
      <c r="O452" s="17">
        <v>19078.34</v>
      </c>
      <c r="P452" s="18">
        <v>0.76500000000000001</v>
      </c>
      <c r="Q452" s="17">
        <v>906.86</v>
      </c>
      <c r="R452" s="15" t="s">
        <v>40</v>
      </c>
    </row>
    <row r="453" spans="1:18" ht="14.25" customHeight="1" x14ac:dyDescent="0.3">
      <c r="A453" s="14">
        <v>45474</v>
      </c>
      <c r="B453" s="15">
        <v>2024</v>
      </c>
      <c r="C453" s="15" t="s">
        <v>44</v>
      </c>
      <c r="D453" s="15" t="s">
        <v>30</v>
      </c>
      <c r="E453" s="15" t="s">
        <v>28</v>
      </c>
      <c r="F453" s="15" t="s">
        <v>32</v>
      </c>
      <c r="G453" s="15" t="s">
        <v>36</v>
      </c>
      <c r="H453" s="16">
        <v>147</v>
      </c>
      <c r="I453" s="17">
        <v>68.23</v>
      </c>
      <c r="J453" s="18">
        <v>0.05</v>
      </c>
      <c r="K453" s="17">
        <v>10029.35</v>
      </c>
      <c r="L453" s="17">
        <v>9527.8799999999992</v>
      </c>
      <c r="M453" s="17">
        <v>14.95</v>
      </c>
      <c r="N453" s="17">
        <v>2198.23</v>
      </c>
      <c r="O453" s="17">
        <v>7329.65</v>
      </c>
      <c r="P453" s="18">
        <v>0.76929999999999998</v>
      </c>
      <c r="Q453" s="17">
        <v>528.41999999999996</v>
      </c>
      <c r="R453" s="15" t="s">
        <v>40</v>
      </c>
    </row>
    <row r="454" spans="1:18" ht="14.25" customHeight="1" x14ac:dyDescent="0.3">
      <c r="A454" s="14">
        <v>45474</v>
      </c>
      <c r="B454" s="15">
        <v>2024</v>
      </c>
      <c r="C454" s="15" t="s">
        <v>44</v>
      </c>
      <c r="D454" s="15" t="s">
        <v>19</v>
      </c>
      <c r="E454" s="15" t="s">
        <v>28</v>
      </c>
      <c r="F454" s="15" t="s">
        <v>32</v>
      </c>
      <c r="G454" s="15" t="s">
        <v>37</v>
      </c>
      <c r="H454" s="16">
        <v>146</v>
      </c>
      <c r="I454" s="17">
        <v>52.7</v>
      </c>
      <c r="J454" s="18">
        <v>0.05</v>
      </c>
      <c r="K454" s="17">
        <v>7694.28</v>
      </c>
      <c r="L454" s="17">
        <v>7309.56</v>
      </c>
      <c r="M454" s="17">
        <v>7.47</v>
      </c>
      <c r="N454" s="17">
        <v>1091.06</v>
      </c>
      <c r="O454" s="17">
        <v>6218.51</v>
      </c>
      <c r="P454" s="18">
        <v>0.85070000000000001</v>
      </c>
      <c r="Q454" s="17">
        <v>366.83</v>
      </c>
      <c r="R454" s="15" t="s">
        <v>40</v>
      </c>
    </row>
    <row r="455" spans="1:18" ht="14.25" customHeight="1" x14ac:dyDescent="0.3">
      <c r="A455" s="14">
        <v>45474</v>
      </c>
      <c r="B455" s="15">
        <v>2024</v>
      </c>
      <c r="C455" s="15" t="s">
        <v>44</v>
      </c>
      <c r="D455" s="15" t="s">
        <v>24</v>
      </c>
      <c r="E455" s="15" t="s">
        <v>20</v>
      </c>
      <c r="F455" s="15" t="s">
        <v>21</v>
      </c>
      <c r="G455" s="15" t="s">
        <v>37</v>
      </c>
      <c r="H455" s="16">
        <v>292</v>
      </c>
      <c r="I455" s="17">
        <v>53.23</v>
      </c>
      <c r="J455" s="18">
        <v>9.5000000000000001E-2</v>
      </c>
      <c r="K455" s="17">
        <v>15544.09</v>
      </c>
      <c r="L455" s="17">
        <v>14067.41</v>
      </c>
      <c r="M455" s="17">
        <v>7.47</v>
      </c>
      <c r="N455" s="17">
        <v>2182.12</v>
      </c>
      <c r="O455" s="17">
        <v>11885.29</v>
      </c>
      <c r="P455" s="18">
        <v>0.84489999999999998</v>
      </c>
      <c r="Q455" s="17">
        <v>557.80999999999995</v>
      </c>
      <c r="R455" s="15" t="s">
        <v>40</v>
      </c>
    </row>
    <row r="456" spans="1:18" ht="14.25" customHeight="1" x14ac:dyDescent="0.3">
      <c r="A456" s="14">
        <v>45474</v>
      </c>
      <c r="B456" s="15">
        <v>2024</v>
      </c>
      <c r="C456" s="15" t="s">
        <v>44</v>
      </c>
      <c r="D456" s="15" t="s">
        <v>27</v>
      </c>
      <c r="E456" s="15" t="s">
        <v>25</v>
      </c>
      <c r="F456" s="15" t="s">
        <v>26</v>
      </c>
      <c r="G456" s="15" t="s">
        <v>37</v>
      </c>
      <c r="H456" s="16">
        <v>265</v>
      </c>
      <c r="I456" s="17">
        <v>53.76</v>
      </c>
      <c r="J456" s="18">
        <v>6.5000000000000002E-2</v>
      </c>
      <c r="K456" s="17">
        <v>14245.84</v>
      </c>
      <c r="L456" s="17">
        <v>13319.87</v>
      </c>
      <c r="M456" s="17">
        <v>7.47</v>
      </c>
      <c r="N456" s="17">
        <v>1980.35</v>
      </c>
      <c r="O456" s="17">
        <v>11339.52</v>
      </c>
      <c r="P456" s="18">
        <v>0.85129999999999995</v>
      </c>
      <c r="Q456" s="17">
        <v>484.91</v>
      </c>
      <c r="R456" s="15" t="s">
        <v>40</v>
      </c>
    </row>
    <row r="457" spans="1:18" ht="14.25" customHeight="1" x14ac:dyDescent="0.3">
      <c r="A457" s="14">
        <v>45474</v>
      </c>
      <c r="B457" s="15">
        <v>2024</v>
      </c>
      <c r="C457" s="15" t="s">
        <v>44</v>
      </c>
      <c r="D457" s="15" t="s">
        <v>30</v>
      </c>
      <c r="E457" s="15" t="s">
        <v>28</v>
      </c>
      <c r="F457" s="15" t="s">
        <v>29</v>
      </c>
      <c r="G457" s="15" t="s">
        <v>37</v>
      </c>
      <c r="H457" s="16">
        <v>117</v>
      </c>
      <c r="I457" s="17">
        <v>52.18</v>
      </c>
      <c r="J457" s="18">
        <v>0.05</v>
      </c>
      <c r="K457" s="17">
        <v>6104.57</v>
      </c>
      <c r="L457" s="17">
        <v>5799.34</v>
      </c>
      <c r="M457" s="17">
        <v>7.47</v>
      </c>
      <c r="N457" s="17">
        <v>874.34</v>
      </c>
      <c r="O457" s="17">
        <v>4925</v>
      </c>
      <c r="P457" s="18">
        <v>0.84919999999999995</v>
      </c>
      <c r="Q457" s="17">
        <v>331.5</v>
      </c>
      <c r="R457" s="15" t="s">
        <v>40</v>
      </c>
    </row>
    <row r="458" spans="1:18" ht="14.25" customHeight="1" x14ac:dyDescent="0.3">
      <c r="A458" s="14">
        <v>45505</v>
      </c>
      <c r="B458" s="15">
        <v>2024</v>
      </c>
      <c r="C458" s="15" t="s">
        <v>45</v>
      </c>
      <c r="D458" s="15" t="s">
        <v>19</v>
      </c>
      <c r="E458" s="15" t="s">
        <v>31</v>
      </c>
      <c r="F458" s="15" t="s">
        <v>32</v>
      </c>
      <c r="G458" s="15" t="s">
        <v>22</v>
      </c>
      <c r="H458" s="16">
        <v>224</v>
      </c>
      <c r="I458" s="17">
        <v>502.69</v>
      </c>
      <c r="J458" s="18">
        <v>0.14499999999999999</v>
      </c>
      <c r="K458" s="17">
        <v>112603.55</v>
      </c>
      <c r="L458" s="17">
        <v>96276.03</v>
      </c>
      <c r="M458" s="17">
        <v>386.31</v>
      </c>
      <c r="N458" s="17">
        <v>86532.63</v>
      </c>
      <c r="O458" s="17">
        <v>9743.4</v>
      </c>
      <c r="P458" s="18">
        <v>0.1012</v>
      </c>
      <c r="Q458" s="17">
        <v>1112.6500000000001</v>
      </c>
      <c r="R458" s="15" t="s">
        <v>40</v>
      </c>
    </row>
    <row r="459" spans="1:18" ht="14.25" customHeight="1" x14ac:dyDescent="0.3">
      <c r="A459" s="14">
        <v>45505</v>
      </c>
      <c r="B459" s="15">
        <v>2024</v>
      </c>
      <c r="C459" s="15" t="s">
        <v>45</v>
      </c>
      <c r="D459" s="15" t="s">
        <v>24</v>
      </c>
      <c r="E459" s="15" t="s">
        <v>20</v>
      </c>
      <c r="F459" s="15" t="s">
        <v>21</v>
      </c>
      <c r="G459" s="15" t="s">
        <v>22</v>
      </c>
      <c r="H459" s="16">
        <v>230</v>
      </c>
      <c r="I459" s="17">
        <v>507.75</v>
      </c>
      <c r="J459" s="18">
        <v>0.11</v>
      </c>
      <c r="K459" s="17">
        <v>116782.64</v>
      </c>
      <c r="L459" s="17">
        <v>103936.55</v>
      </c>
      <c r="M459" s="17">
        <v>386.31</v>
      </c>
      <c r="N459" s="17">
        <v>88850.47</v>
      </c>
      <c r="O459" s="17">
        <v>15086.08</v>
      </c>
      <c r="P459" s="18">
        <v>0.14510000000000001</v>
      </c>
      <c r="Q459" s="17">
        <v>1824.64</v>
      </c>
      <c r="R459" s="15" t="s">
        <v>40</v>
      </c>
    </row>
    <row r="460" spans="1:18" ht="14.25" customHeight="1" x14ac:dyDescent="0.3">
      <c r="A460" s="14">
        <v>45505</v>
      </c>
      <c r="B460" s="15">
        <v>2024</v>
      </c>
      <c r="C460" s="15" t="s">
        <v>45</v>
      </c>
      <c r="D460" s="15" t="s">
        <v>27</v>
      </c>
      <c r="E460" s="15" t="s">
        <v>25</v>
      </c>
      <c r="F460" s="15" t="s">
        <v>26</v>
      </c>
      <c r="G460" s="15" t="s">
        <v>22</v>
      </c>
      <c r="H460" s="16">
        <v>225</v>
      </c>
      <c r="I460" s="17">
        <v>512.79999999999995</v>
      </c>
      <c r="J460" s="18">
        <v>0.08</v>
      </c>
      <c r="K460" s="17">
        <v>115379.74</v>
      </c>
      <c r="L460" s="17">
        <v>106149.36</v>
      </c>
      <c r="M460" s="17">
        <v>386.31</v>
      </c>
      <c r="N460" s="17">
        <v>86918.94</v>
      </c>
      <c r="O460" s="17">
        <v>19230.419999999998</v>
      </c>
      <c r="P460" s="18">
        <v>0.1812</v>
      </c>
      <c r="Q460" s="17">
        <v>1638.45</v>
      </c>
      <c r="R460" s="15" t="s">
        <v>40</v>
      </c>
    </row>
    <row r="461" spans="1:18" ht="14.25" customHeight="1" x14ac:dyDescent="0.3">
      <c r="A461" s="14">
        <v>45505</v>
      </c>
      <c r="B461" s="15">
        <v>2024</v>
      </c>
      <c r="C461" s="15" t="s">
        <v>45</v>
      </c>
      <c r="D461" s="15" t="s">
        <v>30</v>
      </c>
      <c r="E461" s="15" t="s">
        <v>28</v>
      </c>
      <c r="F461" s="15" t="s">
        <v>29</v>
      </c>
      <c r="G461" s="15" t="s">
        <v>22</v>
      </c>
      <c r="H461" s="16">
        <v>95</v>
      </c>
      <c r="I461" s="17">
        <v>497.65</v>
      </c>
      <c r="J461" s="18">
        <v>6.5000000000000002E-2</v>
      </c>
      <c r="K461" s="17">
        <v>47276.38</v>
      </c>
      <c r="L461" s="17">
        <v>44203.42</v>
      </c>
      <c r="M461" s="17">
        <v>386.31</v>
      </c>
      <c r="N461" s="17">
        <v>36699.11</v>
      </c>
      <c r="O461" s="17">
        <v>7504.32</v>
      </c>
      <c r="P461" s="18">
        <v>0.16980000000000001</v>
      </c>
      <c r="Q461" s="17">
        <v>1102.92</v>
      </c>
      <c r="R461" s="15" t="s">
        <v>40</v>
      </c>
    </row>
    <row r="462" spans="1:18" ht="14.25" customHeight="1" x14ac:dyDescent="0.3">
      <c r="A462" s="14">
        <v>45505</v>
      </c>
      <c r="B462" s="15">
        <v>2024</v>
      </c>
      <c r="C462" s="15" t="s">
        <v>45</v>
      </c>
      <c r="D462" s="15" t="s">
        <v>19</v>
      </c>
      <c r="E462" s="15" t="s">
        <v>20</v>
      </c>
      <c r="F462" s="15" t="s">
        <v>21</v>
      </c>
      <c r="G462" s="15" t="s">
        <v>33</v>
      </c>
      <c r="H462" s="16">
        <v>144</v>
      </c>
      <c r="I462" s="17">
        <v>713.5</v>
      </c>
      <c r="J462" s="18">
        <v>0.11</v>
      </c>
      <c r="K462" s="17">
        <v>102744.66</v>
      </c>
      <c r="L462" s="17">
        <v>91442.74</v>
      </c>
      <c r="M462" s="17">
        <v>573.23</v>
      </c>
      <c r="N462" s="17">
        <v>82545.8</v>
      </c>
      <c r="O462" s="17">
        <v>8896.94</v>
      </c>
      <c r="P462" s="18">
        <v>9.7299999999999998E-2</v>
      </c>
      <c r="Q462" s="17">
        <v>1755.96</v>
      </c>
      <c r="R462" s="15" t="s">
        <v>40</v>
      </c>
    </row>
    <row r="463" spans="1:18" ht="14.25" customHeight="1" x14ac:dyDescent="0.3">
      <c r="A463" s="14">
        <v>45505</v>
      </c>
      <c r="B463" s="15">
        <v>2024</v>
      </c>
      <c r="C463" s="15" t="s">
        <v>45</v>
      </c>
      <c r="D463" s="15" t="s">
        <v>24</v>
      </c>
      <c r="E463" s="15" t="s">
        <v>25</v>
      </c>
      <c r="F463" s="15" t="s">
        <v>26</v>
      </c>
      <c r="G463" s="15" t="s">
        <v>33</v>
      </c>
      <c r="H463" s="16">
        <v>140</v>
      </c>
      <c r="I463" s="17">
        <v>720.68</v>
      </c>
      <c r="J463" s="18">
        <v>0.08</v>
      </c>
      <c r="K463" s="17">
        <v>100894.56</v>
      </c>
      <c r="L463" s="17">
        <v>92823</v>
      </c>
      <c r="M463" s="17">
        <v>573.23</v>
      </c>
      <c r="N463" s="17">
        <v>80252.87</v>
      </c>
      <c r="O463" s="17">
        <v>12570.13</v>
      </c>
      <c r="P463" s="18">
        <v>0.13539999999999999</v>
      </c>
      <c r="Q463" s="17">
        <v>1615.3</v>
      </c>
      <c r="R463" s="15" t="s">
        <v>40</v>
      </c>
    </row>
    <row r="464" spans="1:18" ht="14.25" customHeight="1" x14ac:dyDescent="0.3">
      <c r="A464" s="14">
        <v>45505</v>
      </c>
      <c r="B464" s="15">
        <v>2024</v>
      </c>
      <c r="C464" s="15" t="s">
        <v>45</v>
      </c>
      <c r="D464" s="15" t="s">
        <v>27</v>
      </c>
      <c r="E464" s="15" t="s">
        <v>28</v>
      </c>
      <c r="F464" s="15" t="s">
        <v>29</v>
      </c>
      <c r="G464" s="15" t="s">
        <v>33</v>
      </c>
      <c r="H464" s="16">
        <v>98</v>
      </c>
      <c r="I464" s="17">
        <v>727.85</v>
      </c>
      <c r="J464" s="18">
        <v>6.5000000000000002E-2</v>
      </c>
      <c r="K464" s="17">
        <v>71328.94</v>
      </c>
      <c r="L464" s="17">
        <v>66692.56</v>
      </c>
      <c r="M464" s="17">
        <v>573.23</v>
      </c>
      <c r="N464" s="17">
        <v>56177.01</v>
      </c>
      <c r="O464" s="17">
        <v>10515.55</v>
      </c>
      <c r="P464" s="18">
        <v>0.15770000000000001</v>
      </c>
      <c r="Q464" s="17">
        <v>1358.26</v>
      </c>
      <c r="R464" s="15" t="s">
        <v>40</v>
      </c>
    </row>
    <row r="465" spans="1:18" ht="14.25" customHeight="1" x14ac:dyDescent="0.3">
      <c r="A465" s="14">
        <v>45505</v>
      </c>
      <c r="B465" s="15">
        <v>2024</v>
      </c>
      <c r="C465" s="15" t="s">
        <v>45</v>
      </c>
      <c r="D465" s="15" t="s">
        <v>30</v>
      </c>
      <c r="E465" s="15" t="s">
        <v>31</v>
      </c>
      <c r="F465" s="15" t="s">
        <v>32</v>
      </c>
      <c r="G465" s="15" t="s">
        <v>33</v>
      </c>
      <c r="H465" s="16">
        <v>121</v>
      </c>
      <c r="I465" s="17">
        <v>706.33</v>
      </c>
      <c r="J465" s="18">
        <v>0.14499999999999999</v>
      </c>
      <c r="K465" s="17">
        <v>85466.37</v>
      </c>
      <c r="L465" s="17">
        <v>73073.740000000005</v>
      </c>
      <c r="M465" s="17">
        <v>573.23</v>
      </c>
      <c r="N465" s="17">
        <v>69361.399999999994</v>
      </c>
      <c r="O465" s="17">
        <v>3712.34</v>
      </c>
      <c r="P465" s="18">
        <v>5.0799999999999998E-2</v>
      </c>
      <c r="Q465" s="17">
        <v>962.36</v>
      </c>
      <c r="R465" s="15" t="s">
        <v>40</v>
      </c>
    </row>
    <row r="466" spans="1:18" ht="14.25" customHeight="1" x14ac:dyDescent="0.3">
      <c r="A466" s="14">
        <v>45505</v>
      </c>
      <c r="B466" s="15">
        <v>2024</v>
      </c>
      <c r="C466" s="15" t="s">
        <v>45</v>
      </c>
      <c r="D466" s="15" t="s">
        <v>19</v>
      </c>
      <c r="E466" s="15" t="s">
        <v>20</v>
      </c>
      <c r="F466" s="15" t="s">
        <v>26</v>
      </c>
      <c r="G466" s="15" t="s">
        <v>34</v>
      </c>
      <c r="H466" s="16">
        <v>318</v>
      </c>
      <c r="I466" s="17">
        <v>227.02</v>
      </c>
      <c r="J466" s="18">
        <v>0.11</v>
      </c>
      <c r="K466" s="17">
        <v>72192.42</v>
      </c>
      <c r="L466" s="17">
        <v>64251.26</v>
      </c>
      <c r="M466" s="17">
        <v>157.85</v>
      </c>
      <c r="N466" s="17">
        <v>50195.43</v>
      </c>
      <c r="O466" s="17">
        <v>14055.83</v>
      </c>
      <c r="P466" s="18">
        <v>0.21879999999999999</v>
      </c>
      <c r="Q466" s="17">
        <v>1163.67</v>
      </c>
      <c r="R466" s="15" t="s">
        <v>40</v>
      </c>
    </row>
    <row r="467" spans="1:18" ht="14.25" customHeight="1" x14ac:dyDescent="0.3">
      <c r="A467" s="14">
        <v>45505</v>
      </c>
      <c r="B467" s="15">
        <v>2024</v>
      </c>
      <c r="C467" s="15" t="s">
        <v>45</v>
      </c>
      <c r="D467" s="15" t="s">
        <v>24</v>
      </c>
      <c r="E467" s="15" t="s">
        <v>25</v>
      </c>
      <c r="F467" s="15" t="s">
        <v>21</v>
      </c>
      <c r="G467" s="15" t="s">
        <v>34</v>
      </c>
      <c r="H467" s="16">
        <v>249</v>
      </c>
      <c r="I467" s="17">
        <v>229.3</v>
      </c>
      <c r="J467" s="18">
        <v>0.08</v>
      </c>
      <c r="K467" s="17">
        <v>57096.160000000003</v>
      </c>
      <c r="L467" s="17">
        <v>52528.46</v>
      </c>
      <c r="M467" s="17">
        <v>157.85</v>
      </c>
      <c r="N467" s="17">
        <v>39303.97</v>
      </c>
      <c r="O467" s="17">
        <v>13224.5</v>
      </c>
      <c r="P467" s="18">
        <v>0.25180000000000002</v>
      </c>
      <c r="Q467" s="17">
        <v>1122.95</v>
      </c>
      <c r="R467" s="15" t="s">
        <v>40</v>
      </c>
    </row>
    <row r="468" spans="1:18" ht="14.25" customHeight="1" x14ac:dyDescent="0.3">
      <c r="A468" s="14">
        <v>45505</v>
      </c>
      <c r="B468" s="15">
        <v>2024</v>
      </c>
      <c r="C468" s="15" t="s">
        <v>45</v>
      </c>
      <c r="D468" s="15" t="s">
        <v>27</v>
      </c>
      <c r="E468" s="15" t="s">
        <v>31</v>
      </c>
      <c r="F468" s="15" t="s">
        <v>32</v>
      </c>
      <c r="G468" s="15" t="s">
        <v>34</v>
      </c>
      <c r="H468" s="16">
        <v>359</v>
      </c>
      <c r="I468" s="17">
        <v>231.58</v>
      </c>
      <c r="J468" s="18">
        <v>0.14499999999999999</v>
      </c>
      <c r="K468" s="17">
        <v>83138.48</v>
      </c>
      <c r="L468" s="17">
        <v>71083.399999999994</v>
      </c>
      <c r="M468" s="17">
        <v>157.85</v>
      </c>
      <c r="N468" s="17">
        <v>56667.16</v>
      </c>
      <c r="O468" s="17">
        <v>14416.24</v>
      </c>
      <c r="P468" s="18">
        <v>0.20280000000000001</v>
      </c>
      <c r="Q468" s="17">
        <v>831.25</v>
      </c>
      <c r="R468" s="15" t="s">
        <v>40</v>
      </c>
    </row>
    <row r="469" spans="1:18" ht="14.25" customHeight="1" x14ac:dyDescent="0.3">
      <c r="A469" s="14">
        <v>45505</v>
      </c>
      <c r="B469" s="15">
        <v>2024</v>
      </c>
      <c r="C469" s="15" t="s">
        <v>45</v>
      </c>
      <c r="D469" s="15" t="s">
        <v>30</v>
      </c>
      <c r="E469" s="15" t="s">
        <v>20</v>
      </c>
      <c r="F469" s="15" t="s">
        <v>21</v>
      </c>
      <c r="G469" s="15" t="s">
        <v>34</v>
      </c>
      <c r="H469" s="16">
        <v>223</v>
      </c>
      <c r="I469" s="17">
        <v>224.74</v>
      </c>
      <c r="J469" s="18">
        <v>0.11</v>
      </c>
      <c r="K469" s="17">
        <v>50116.7</v>
      </c>
      <c r="L469" s="17">
        <v>44603.86</v>
      </c>
      <c r="M469" s="17">
        <v>157.85</v>
      </c>
      <c r="N469" s="17">
        <v>35199.94</v>
      </c>
      <c r="O469" s="17">
        <v>9403.92</v>
      </c>
      <c r="P469" s="18">
        <v>0.21079999999999999</v>
      </c>
      <c r="Q469" s="17">
        <v>1098.67</v>
      </c>
      <c r="R469" s="15" t="s">
        <v>40</v>
      </c>
    </row>
    <row r="470" spans="1:18" ht="14.25" customHeight="1" x14ac:dyDescent="0.3">
      <c r="A470" s="14">
        <v>45505</v>
      </c>
      <c r="B470" s="15">
        <v>2024</v>
      </c>
      <c r="C470" s="15" t="s">
        <v>45</v>
      </c>
      <c r="D470" s="15" t="s">
        <v>19</v>
      </c>
      <c r="E470" s="15" t="s">
        <v>25</v>
      </c>
      <c r="F470" s="15" t="s">
        <v>21</v>
      </c>
      <c r="G470" s="15" t="s">
        <v>35</v>
      </c>
      <c r="H470" s="16">
        <v>798</v>
      </c>
      <c r="I470" s="17">
        <v>11.35</v>
      </c>
      <c r="J470" s="18">
        <v>0.08</v>
      </c>
      <c r="K470" s="17">
        <v>9059.3700000000008</v>
      </c>
      <c r="L470" s="17">
        <v>8334.6200000000008</v>
      </c>
      <c r="M470" s="17">
        <v>5.82</v>
      </c>
      <c r="N470" s="17">
        <v>4643.88</v>
      </c>
      <c r="O470" s="17">
        <v>3690.74</v>
      </c>
      <c r="P470" s="18">
        <v>0.44280000000000003</v>
      </c>
      <c r="Q470" s="17">
        <v>498.94</v>
      </c>
      <c r="R470" s="15" t="s">
        <v>40</v>
      </c>
    </row>
    <row r="471" spans="1:18" ht="14.25" customHeight="1" x14ac:dyDescent="0.3">
      <c r="A471" s="14">
        <v>45505</v>
      </c>
      <c r="B471" s="15">
        <v>2024</v>
      </c>
      <c r="C471" s="15" t="s">
        <v>45</v>
      </c>
      <c r="D471" s="15" t="s">
        <v>24</v>
      </c>
      <c r="E471" s="15" t="s">
        <v>31</v>
      </c>
      <c r="F471" s="15" t="s">
        <v>32</v>
      </c>
      <c r="G471" s="15" t="s">
        <v>35</v>
      </c>
      <c r="H471" s="16">
        <v>1222</v>
      </c>
      <c r="I471" s="17">
        <v>11.46</v>
      </c>
      <c r="J471" s="18">
        <v>0.14499999999999999</v>
      </c>
      <c r="K471" s="17">
        <v>14008.89</v>
      </c>
      <c r="L471" s="17">
        <v>11977.6</v>
      </c>
      <c r="M471" s="17">
        <v>5.82</v>
      </c>
      <c r="N471" s="17">
        <v>7111.31</v>
      </c>
      <c r="O471" s="17">
        <v>4866.29</v>
      </c>
      <c r="P471" s="18">
        <v>0.40629999999999999</v>
      </c>
      <c r="Q471" s="17">
        <v>383.6</v>
      </c>
      <c r="R471" s="15" t="s">
        <v>40</v>
      </c>
    </row>
    <row r="472" spans="1:18" ht="14.25" customHeight="1" x14ac:dyDescent="0.3">
      <c r="A472" s="14">
        <v>45505</v>
      </c>
      <c r="B472" s="15">
        <v>2024</v>
      </c>
      <c r="C472" s="15" t="s">
        <v>45</v>
      </c>
      <c r="D472" s="15" t="s">
        <v>27</v>
      </c>
      <c r="E472" s="15" t="s">
        <v>20</v>
      </c>
      <c r="F472" s="15" t="s">
        <v>21</v>
      </c>
      <c r="G472" s="15" t="s">
        <v>35</v>
      </c>
      <c r="H472" s="16">
        <v>1200</v>
      </c>
      <c r="I472" s="17">
        <v>11.58</v>
      </c>
      <c r="J472" s="18">
        <v>0.11</v>
      </c>
      <c r="K472" s="17">
        <v>13899.78</v>
      </c>
      <c r="L472" s="17">
        <v>12370.8</v>
      </c>
      <c r="M472" s="17">
        <v>5.82</v>
      </c>
      <c r="N472" s="17">
        <v>6983.28</v>
      </c>
      <c r="O472" s="17">
        <v>5387.52</v>
      </c>
      <c r="P472" s="18">
        <v>0.4355</v>
      </c>
      <c r="Q472" s="17">
        <v>637.36</v>
      </c>
      <c r="R472" s="15" t="s">
        <v>40</v>
      </c>
    </row>
    <row r="473" spans="1:18" ht="14.25" customHeight="1" x14ac:dyDescent="0.3">
      <c r="A473" s="14">
        <v>45505</v>
      </c>
      <c r="B473" s="15">
        <v>2024</v>
      </c>
      <c r="C473" s="15" t="s">
        <v>45</v>
      </c>
      <c r="D473" s="15" t="s">
        <v>30</v>
      </c>
      <c r="E473" s="15" t="s">
        <v>25</v>
      </c>
      <c r="F473" s="15" t="s">
        <v>26</v>
      </c>
      <c r="G473" s="15" t="s">
        <v>35</v>
      </c>
      <c r="H473" s="16">
        <v>707</v>
      </c>
      <c r="I473" s="17">
        <v>11.23</v>
      </c>
      <c r="J473" s="18">
        <v>0.08</v>
      </c>
      <c r="K473" s="17">
        <v>7941.98</v>
      </c>
      <c r="L473" s="17">
        <v>7306.62</v>
      </c>
      <c r="M473" s="17">
        <v>5.82</v>
      </c>
      <c r="N473" s="17">
        <v>4114.32</v>
      </c>
      <c r="O473" s="17">
        <v>3192.31</v>
      </c>
      <c r="P473" s="18">
        <v>0.43690000000000001</v>
      </c>
      <c r="Q473" s="17">
        <v>433.39</v>
      </c>
      <c r="R473" s="15" t="s">
        <v>40</v>
      </c>
    </row>
    <row r="474" spans="1:18" ht="14.25" customHeight="1" x14ac:dyDescent="0.3">
      <c r="A474" s="14">
        <v>45505</v>
      </c>
      <c r="B474" s="15">
        <v>2024</v>
      </c>
      <c r="C474" s="15" t="s">
        <v>45</v>
      </c>
      <c r="D474" s="15" t="s">
        <v>19</v>
      </c>
      <c r="E474" s="15" t="s">
        <v>31</v>
      </c>
      <c r="F474" s="15" t="s">
        <v>32</v>
      </c>
      <c r="G474" s="15" t="s">
        <v>36</v>
      </c>
      <c r="H474" s="16">
        <v>351</v>
      </c>
      <c r="I474" s="17">
        <v>68.92</v>
      </c>
      <c r="J474" s="18">
        <v>0.13</v>
      </c>
      <c r="K474" s="17">
        <v>24190.41</v>
      </c>
      <c r="L474" s="17">
        <v>21045.66</v>
      </c>
      <c r="M474" s="17">
        <v>14.95</v>
      </c>
      <c r="N474" s="17">
        <v>5248.84</v>
      </c>
      <c r="O474" s="17">
        <v>15796.82</v>
      </c>
      <c r="P474" s="18">
        <v>0.75060000000000004</v>
      </c>
      <c r="Q474" s="17">
        <v>507.1</v>
      </c>
      <c r="R474" s="15" t="s">
        <v>40</v>
      </c>
    </row>
    <row r="475" spans="1:18" ht="14.25" customHeight="1" x14ac:dyDescent="0.3">
      <c r="A475" s="14">
        <v>45505</v>
      </c>
      <c r="B475" s="15">
        <v>2024</v>
      </c>
      <c r="C475" s="15" t="s">
        <v>45</v>
      </c>
      <c r="D475" s="15" t="s">
        <v>24</v>
      </c>
      <c r="E475" s="15" t="s">
        <v>20</v>
      </c>
      <c r="F475" s="15" t="s">
        <v>21</v>
      </c>
      <c r="G475" s="15" t="s">
        <v>36</v>
      </c>
      <c r="H475" s="16">
        <v>373</v>
      </c>
      <c r="I475" s="17">
        <v>69.61</v>
      </c>
      <c r="J475" s="18">
        <v>9.5000000000000001E-2</v>
      </c>
      <c r="K475" s="17">
        <v>25964.6</v>
      </c>
      <c r="L475" s="17">
        <v>23497.97</v>
      </c>
      <c r="M475" s="17">
        <v>14.95</v>
      </c>
      <c r="N475" s="17">
        <v>5577.82</v>
      </c>
      <c r="O475" s="17">
        <v>17920.14</v>
      </c>
      <c r="P475" s="18">
        <v>0.76259999999999994</v>
      </c>
      <c r="Q475" s="17">
        <v>863.49</v>
      </c>
      <c r="R475" s="15" t="s">
        <v>40</v>
      </c>
    </row>
    <row r="476" spans="1:18" ht="14.25" customHeight="1" x14ac:dyDescent="0.3">
      <c r="A476" s="14">
        <v>45505</v>
      </c>
      <c r="B476" s="15">
        <v>2024</v>
      </c>
      <c r="C476" s="15" t="s">
        <v>45</v>
      </c>
      <c r="D476" s="15" t="s">
        <v>27</v>
      </c>
      <c r="E476" s="15" t="s">
        <v>28</v>
      </c>
      <c r="F476" s="15" t="s">
        <v>32</v>
      </c>
      <c r="G476" s="15" t="s">
        <v>36</v>
      </c>
      <c r="H476" s="16">
        <v>233</v>
      </c>
      <c r="I476" s="17">
        <v>70.3</v>
      </c>
      <c r="J476" s="18">
        <v>0.05</v>
      </c>
      <c r="K476" s="17">
        <v>16380.33</v>
      </c>
      <c r="L476" s="17">
        <v>15561.31</v>
      </c>
      <c r="M476" s="17">
        <v>14.95</v>
      </c>
      <c r="N476" s="17">
        <v>3484.27</v>
      </c>
      <c r="O476" s="17">
        <v>12077.04</v>
      </c>
      <c r="P476" s="18">
        <v>0.77610000000000001</v>
      </c>
      <c r="Q476" s="17">
        <v>683.26</v>
      </c>
      <c r="R476" s="15" t="s">
        <v>40</v>
      </c>
    </row>
    <row r="477" spans="1:18" ht="14.25" customHeight="1" x14ac:dyDescent="0.3">
      <c r="A477" s="14">
        <v>45505</v>
      </c>
      <c r="B477" s="15">
        <v>2024</v>
      </c>
      <c r="C477" s="15" t="s">
        <v>45</v>
      </c>
      <c r="D477" s="15" t="s">
        <v>30</v>
      </c>
      <c r="E477" s="15" t="s">
        <v>31</v>
      </c>
      <c r="F477" s="15" t="s">
        <v>32</v>
      </c>
      <c r="G477" s="15" t="s">
        <v>36</v>
      </c>
      <c r="H477" s="16">
        <v>287</v>
      </c>
      <c r="I477" s="17">
        <v>68.23</v>
      </c>
      <c r="J477" s="18">
        <v>0.13</v>
      </c>
      <c r="K477" s="17">
        <v>19581.12</v>
      </c>
      <c r="L477" s="17">
        <v>17035.580000000002</v>
      </c>
      <c r="M477" s="17">
        <v>14.95</v>
      </c>
      <c r="N477" s="17">
        <v>4291.78</v>
      </c>
      <c r="O477" s="17">
        <v>12743.79</v>
      </c>
      <c r="P477" s="18">
        <v>0.74809999999999999</v>
      </c>
      <c r="Q477" s="17">
        <v>478.11</v>
      </c>
      <c r="R477" s="15" t="s">
        <v>40</v>
      </c>
    </row>
    <row r="478" spans="1:18" ht="14.25" customHeight="1" x14ac:dyDescent="0.3">
      <c r="A478" s="14">
        <v>45505</v>
      </c>
      <c r="B478" s="15">
        <v>2024</v>
      </c>
      <c r="C478" s="15" t="s">
        <v>45</v>
      </c>
      <c r="D478" s="15" t="s">
        <v>19</v>
      </c>
      <c r="E478" s="15" t="s">
        <v>20</v>
      </c>
      <c r="F478" s="15" t="s">
        <v>21</v>
      </c>
      <c r="G478" s="15" t="s">
        <v>37</v>
      </c>
      <c r="H478" s="16">
        <v>286</v>
      </c>
      <c r="I478" s="17">
        <v>52.7</v>
      </c>
      <c r="J478" s="18">
        <v>9.5000000000000001E-2</v>
      </c>
      <c r="K478" s="17">
        <v>15072.36</v>
      </c>
      <c r="L478" s="17">
        <v>13640.48</v>
      </c>
      <c r="M478" s="17">
        <v>7.47</v>
      </c>
      <c r="N478" s="17">
        <v>2137.2800000000002</v>
      </c>
      <c r="O478" s="17">
        <v>11503.2</v>
      </c>
      <c r="P478" s="18">
        <v>0.84330000000000005</v>
      </c>
      <c r="Q478" s="17">
        <v>518.91999999999996</v>
      </c>
      <c r="R478" s="15" t="s">
        <v>40</v>
      </c>
    </row>
    <row r="479" spans="1:18" ht="14.25" customHeight="1" x14ac:dyDescent="0.3">
      <c r="A479" s="14">
        <v>45505</v>
      </c>
      <c r="B479" s="15">
        <v>2024</v>
      </c>
      <c r="C479" s="15" t="s">
        <v>45</v>
      </c>
      <c r="D479" s="15" t="s">
        <v>24</v>
      </c>
      <c r="E479" s="15" t="s">
        <v>25</v>
      </c>
      <c r="F479" s="15" t="s">
        <v>26</v>
      </c>
      <c r="G479" s="15" t="s">
        <v>37</v>
      </c>
      <c r="H479" s="16">
        <v>262</v>
      </c>
      <c r="I479" s="17">
        <v>53.23</v>
      </c>
      <c r="J479" s="18">
        <v>6.5000000000000002E-2</v>
      </c>
      <c r="K479" s="17">
        <v>13947.1</v>
      </c>
      <c r="L479" s="17">
        <v>13040.54</v>
      </c>
      <c r="M479" s="17">
        <v>7.47</v>
      </c>
      <c r="N479" s="17">
        <v>1957.93</v>
      </c>
      <c r="O479" s="17">
        <v>11082.61</v>
      </c>
      <c r="P479" s="18">
        <v>0.84989999999999999</v>
      </c>
      <c r="Q479" s="17">
        <v>474.42</v>
      </c>
      <c r="R479" s="15" t="s">
        <v>40</v>
      </c>
    </row>
    <row r="480" spans="1:18" ht="14.25" customHeight="1" x14ac:dyDescent="0.3">
      <c r="A480" s="14">
        <v>45505</v>
      </c>
      <c r="B480" s="15">
        <v>2024</v>
      </c>
      <c r="C480" s="15" t="s">
        <v>45</v>
      </c>
      <c r="D480" s="15" t="s">
        <v>27</v>
      </c>
      <c r="E480" s="15" t="s">
        <v>28</v>
      </c>
      <c r="F480" s="15" t="s">
        <v>29</v>
      </c>
      <c r="G480" s="15" t="s">
        <v>37</v>
      </c>
      <c r="H480" s="16">
        <v>174</v>
      </c>
      <c r="I480" s="17">
        <v>53.76</v>
      </c>
      <c r="J480" s="18">
        <v>0.05</v>
      </c>
      <c r="K480" s="17">
        <v>9353.8700000000008</v>
      </c>
      <c r="L480" s="17">
        <v>8886.18</v>
      </c>
      <c r="M480" s="17">
        <v>7.47</v>
      </c>
      <c r="N480" s="17">
        <v>1300.3</v>
      </c>
      <c r="O480" s="17">
        <v>7585.88</v>
      </c>
      <c r="P480" s="18">
        <v>0.85370000000000001</v>
      </c>
      <c r="Q480" s="17">
        <v>409.89</v>
      </c>
      <c r="R480" s="15" t="s">
        <v>40</v>
      </c>
    </row>
    <row r="481" spans="1:18" ht="14.25" customHeight="1" x14ac:dyDescent="0.3">
      <c r="A481" s="14">
        <v>45505</v>
      </c>
      <c r="B481" s="15">
        <v>2024</v>
      </c>
      <c r="C481" s="15" t="s">
        <v>45</v>
      </c>
      <c r="D481" s="15" t="s">
        <v>30</v>
      </c>
      <c r="E481" s="15" t="s">
        <v>20</v>
      </c>
      <c r="F481" s="15" t="s">
        <v>26</v>
      </c>
      <c r="G481" s="15" t="s">
        <v>37</v>
      </c>
      <c r="H481" s="16">
        <v>231</v>
      </c>
      <c r="I481" s="17">
        <v>52.18</v>
      </c>
      <c r="J481" s="18">
        <v>9.5000000000000001E-2</v>
      </c>
      <c r="K481" s="17">
        <v>12052.62</v>
      </c>
      <c r="L481" s="17">
        <v>10907.62</v>
      </c>
      <c r="M481" s="17">
        <v>7.47</v>
      </c>
      <c r="N481" s="17">
        <v>1726.26</v>
      </c>
      <c r="O481" s="17">
        <v>9181.36</v>
      </c>
      <c r="P481" s="18">
        <v>0.8417</v>
      </c>
      <c r="Q481" s="17">
        <v>451.95</v>
      </c>
      <c r="R481" s="15" t="s">
        <v>40</v>
      </c>
    </row>
    <row r="482" spans="1:18" ht="14.25" customHeight="1" x14ac:dyDescent="0.3">
      <c r="A482" s="14">
        <v>45536</v>
      </c>
      <c r="B482" s="15">
        <v>2024</v>
      </c>
      <c r="C482" s="15" t="s">
        <v>46</v>
      </c>
      <c r="D482" s="15" t="s">
        <v>19</v>
      </c>
      <c r="E482" s="15" t="s">
        <v>20</v>
      </c>
      <c r="F482" s="15" t="s">
        <v>21</v>
      </c>
      <c r="G482" s="15" t="s">
        <v>22</v>
      </c>
      <c r="H482" s="16">
        <v>161</v>
      </c>
      <c r="I482" s="17">
        <v>502.69</v>
      </c>
      <c r="J482" s="18">
        <v>8.5000000000000006E-2</v>
      </c>
      <c r="K482" s="17">
        <v>80933.8</v>
      </c>
      <c r="L482" s="17">
        <v>74054.42</v>
      </c>
      <c r="M482" s="17">
        <v>386.31</v>
      </c>
      <c r="N482" s="17">
        <v>62195.33</v>
      </c>
      <c r="O482" s="17">
        <v>11859.09</v>
      </c>
      <c r="P482" s="18">
        <v>0.16009999999999999</v>
      </c>
      <c r="Q482" s="17">
        <v>1170.45</v>
      </c>
      <c r="R482" s="15" t="s">
        <v>23</v>
      </c>
    </row>
    <row r="483" spans="1:18" ht="14.25" customHeight="1" x14ac:dyDescent="0.3">
      <c r="A483" s="14">
        <v>45536</v>
      </c>
      <c r="B483" s="15">
        <v>2024</v>
      </c>
      <c r="C483" s="15" t="s">
        <v>46</v>
      </c>
      <c r="D483" s="15" t="s">
        <v>24</v>
      </c>
      <c r="E483" s="15" t="s">
        <v>25</v>
      </c>
      <c r="F483" s="15" t="s">
        <v>26</v>
      </c>
      <c r="G483" s="15" t="s">
        <v>22</v>
      </c>
      <c r="H483" s="16">
        <v>147</v>
      </c>
      <c r="I483" s="17">
        <v>507.75</v>
      </c>
      <c r="J483" s="18">
        <v>5.5E-2</v>
      </c>
      <c r="K483" s="17">
        <v>74639.34</v>
      </c>
      <c r="L483" s="17">
        <v>70534.17</v>
      </c>
      <c r="M483" s="17">
        <v>386.31</v>
      </c>
      <c r="N483" s="17">
        <v>56787.040000000001</v>
      </c>
      <c r="O483" s="17">
        <v>13747.13</v>
      </c>
      <c r="P483" s="18">
        <v>0.19489999999999999</v>
      </c>
      <c r="Q483" s="17">
        <v>1101.54</v>
      </c>
      <c r="R483" s="15" t="s">
        <v>23</v>
      </c>
    </row>
    <row r="484" spans="1:18" ht="14.25" customHeight="1" x14ac:dyDescent="0.3">
      <c r="A484" s="14">
        <v>45536</v>
      </c>
      <c r="B484" s="15">
        <v>2024</v>
      </c>
      <c r="C484" s="15" t="s">
        <v>46</v>
      </c>
      <c r="D484" s="15" t="s">
        <v>27</v>
      </c>
      <c r="E484" s="15" t="s">
        <v>28</v>
      </c>
      <c r="F484" s="15" t="s">
        <v>29</v>
      </c>
      <c r="G484" s="15" t="s">
        <v>22</v>
      </c>
      <c r="H484" s="16">
        <v>103</v>
      </c>
      <c r="I484" s="17">
        <v>512.79999999999995</v>
      </c>
      <c r="J484" s="18">
        <v>0.04</v>
      </c>
      <c r="K484" s="17">
        <v>52818.28</v>
      </c>
      <c r="L484" s="17">
        <v>50705.55</v>
      </c>
      <c r="M484" s="17">
        <v>386.31</v>
      </c>
      <c r="N484" s="17">
        <v>39789.56</v>
      </c>
      <c r="O484" s="17">
        <v>10915.99</v>
      </c>
      <c r="P484" s="18">
        <v>0.21529999999999999</v>
      </c>
      <c r="Q484" s="17">
        <v>917.98</v>
      </c>
      <c r="R484" s="15" t="s">
        <v>23</v>
      </c>
    </row>
    <row r="485" spans="1:18" ht="14.25" customHeight="1" x14ac:dyDescent="0.3">
      <c r="A485" s="14">
        <v>45536</v>
      </c>
      <c r="B485" s="15">
        <v>2024</v>
      </c>
      <c r="C485" s="15" t="s">
        <v>46</v>
      </c>
      <c r="D485" s="15" t="s">
        <v>30</v>
      </c>
      <c r="E485" s="15" t="s">
        <v>31</v>
      </c>
      <c r="F485" s="15" t="s">
        <v>32</v>
      </c>
      <c r="G485" s="15" t="s">
        <v>22</v>
      </c>
      <c r="H485" s="16">
        <v>129</v>
      </c>
      <c r="I485" s="17">
        <v>497.65</v>
      </c>
      <c r="J485" s="18">
        <v>0.12</v>
      </c>
      <c r="K485" s="17">
        <v>64196.35</v>
      </c>
      <c r="L485" s="17">
        <v>56492.79</v>
      </c>
      <c r="M485" s="17">
        <v>386.31</v>
      </c>
      <c r="N485" s="17">
        <v>49833.53</v>
      </c>
      <c r="O485" s="17">
        <v>6659.26</v>
      </c>
      <c r="P485" s="18">
        <v>0.1179</v>
      </c>
      <c r="Q485" s="17">
        <v>670.25</v>
      </c>
      <c r="R485" s="15" t="s">
        <v>23</v>
      </c>
    </row>
    <row r="486" spans="1:18" ht="14.25" customHeight="1" x14ac:dyDescent="0.3">
      <c r="A486" s="14">
        <v>45536</v>
      </c>
      <c r="B486" s="15">
        <v>2024</v>
      </c>
      <c r="C486" s="15" t="s">
        <v>46</v>
      </c>
      <c r="D486" s="15" t="s">
        <v>19</v>
      </c>
      <c r="E486" s="15" t="s">
        <v>25</v>
      </c>
      <c r="F486" s="15" t="s">
        <v>26</v>
      </c>
      <c r="G486" s="15" t="s">
        <v>33</v>
      </c>
      <c r="H486" s="16">
        <v>89</v>
      </c>
      <c r="I486" s="17">
        <v>713.5</v>
      </c>
      <c r="J486" s="18">
        <v>5.5E-2</v>
      </c>
      <c r="K486" s="17">
        <v>63501.9</v>
      </c>
      <c r="L486" s="17">
        <v>60009.3</v>
      </c>
      <c r="M486" s="17">
        <v>573.23</v>
      </c>
      <c r="N486" s="17">
        <v>51017.89</v>
      </c>
      <c r="O486" s="17">
        <v>8991.41</v>
      </c>
      <c r="P486" s="18">
        <v>0.14979999999999999</v>
      </c>
      <c r="Q486" s="17">
        <v>1017.97</v>
      </c>
      <c r="R486" s="15" t="s">
        <v>23</v>
      </c>
    </row>
    <row r="487" spans="1:18" ht="14.25" customHeight="1" x14ac:dyDescent="0.3">
      <c r="A487" s="14">
        <v>45536</v>
      </c>
      <c r="B487" s="15">
        <v>2024</v>
      </c>
      <c r="C487" s="15" t="s">
        <v>46</v>
      </c>
      <c r="D487" s="15" t="s">
        <v>24</v>
      </c>
      <c r="E487" s="15" t="s">
        <v>28</v>
      </c>
      <c r="F487" s="15" t="s">
        <v>29</v>
      </c>
      <c r="G487" s="15" t="s">
        <v>33</v>
      </c>
      <c r="H487" s="16">
        <v>65</v>
      </c>
      <c r="I487" s="17">
        <v>720.68</v>
      </c>
      <c r="J487" s="18">
        <v>0.04</v>
      </c>
      <c r="K487" s="17">
        <v>46843.9</v>
      </c>
      <c r="L487" s="17">
        <v>44970.14</v>
      </c>
      <c r="M487" s="17">
        <v>573.23</v>
      </c>
      <c r="N487" s="17">
        <v>37260.26</v>
      </c>
      <c r="O487" s="17">
        <v>7709.89</v>
      </c>
      <c r="P487" s="18">
        <v>0.1714</v>
      </c>
      <c r="Q487" s="17">
        <v>872.85</v>
      </c>
      <c r="R487" s="15" t="s">
        <v>23</v>
      </c>
    </row>
    <row r="488" spans="1:18" ht="14.25" customHeight="1" x14ac:dyDescent="0.3">
      <c r="A488" s="14">
        <v>45536</v>
      </c>
      <c r="B488" s="15">
        <v>2024</v>
      </c>
      <c r="C488" s="15" t="s">
        <v>46</v>
      </c>
      <c r="D488" s="15" t="s">
        <v>27</v>
      </c>
      <c r="E488" s="15" t="s">
        <v>31</v>
      </c>
      <c r="F488" s="15" t="s">
        <v>32</v>
      </c>
      <c r="G488" s="15" t="s">
        <v>33</v>
      </c>
      <c r="H488" s="16">
        <v>147</v>
      </c>
      <c r="I488" s="17">
        <v>727.85</v>
      </c>
      <c r="J488" s="18">
        <v>0.12</v>
      </c>
      <c r="K488" s="17">
        <v>106993.41</v>
      </c>
      <c r="L488" s="17">
        <v>94154.2</v>
      </c>
      <c r="M488" s="17">
        <v>573.23</v>
      </c>
      <c r="N488" s="17">
        <v>84265.51</v>
      </c>
      <c r="O488" s="17">
        <v>9888.69</v>
      </c>
      <c r="P488" s="18">
        <v>0.105</v>
      </c>
      <c r="Q488" s="17">
        <v>854.71</v>
      </c>
      <c r="R488" s="15" t="s">
        <v>23</v>
      </c>
    </row>
    <row r="489" spans="1:18" ht="14.25" customHeight="1" x14ac:dyDescent="0.3">
      <c r="A489" s="14">
        <v>45536</v>
      </c>
      <c r="B489" s="15">
        <v>2024</v>
      </c>
      <c r="C489" s="15" t="s">
        <v>46</v>
      </c>
      <c r="D489" s="15" t="s">
        <v>30</v>
      </c>
      <c r="E489" s="15" t="s">
        <v>20</v>
      </c>
      <c r="F489" s="15" t="s">
        <v>21</v>
      </c>
      <c r="G489" s="15" t="s">
        <v>33</v>
      </c>
      <c r="H489" s="16">
        <v>82</v>
      </c>
      <c r="I489" s="17">
        <v>706.33</v>
      </c>
      <c r="J489" s="18">
        <v>8.5000000000000006E-2</v>
      </c>
      <c r="K489" s="17">
        <v>57919.360000000001</v>
      </c>
      <c r="L489" s="17">
        <v>52996.21</v>
      </c>
      <c r="M489" s="17">
        <v>573.23</v>
      </c>
      <c r="N489" s="17">
        <v>47005.25</v>
      </c>
      <c r="O489" s="17">
        <v>5990.96</v>
      </c>
      <c r="P489" s="18">
        <v>0.113</v>
      </c>
      <c r="Q489" s="17">
        <v>1015.57</v>
      </c>
      <c r="R489" s="15" t="s">
        <v>23</v>
      </c>
    </row>
    <row r="490" spans="1:18" ht="14.25" customHeight="1" x14ac:dyDescent="0.3">
      <c r="A490" s="14">
        <v>45536</v>
      </c>
      <c r="B490" s="15">
        <v>2024</v>
      </c>
      <c r="C490" s="15" t="s">
        <v>46</v>
      </c>
      <c r="D490" s="15" t="s">
        <v>19</v>
      </c>
      <c r="E490" s="15" t="s">
        <v>25</v>
      </c>
      <c r="F490" s="15" t="s">
        <v>21</v>
      </c>
      <c r="G490" s="15" t="s">
        <v>34</v>
      </c>
      <c r="H490" s="16">
        <v>170</v>
      </c>
      <c r="I490" s="17">
        <v>227.02</v>
      </c>
      <c r="J490" s="18">
        <v>5.5E-2</v>
      </c>
      <c r="K490" s="17">
        <v>38593.43</v>
      </c>
      <c r="L490" s="17">
        <v>36470.79</v>
      </c>
      <c r="M490" s="17">
        <v>157.85</v>
      </c>
      <c r="N490" s="17">
        <v>26834.03</v>
      </c>
      <c r="O490" s="17">
        <v>9636.76</v>
      </c>
      <c r="P490" s="18">
        <v>0.26419999999999999</v>
      </c>
      <c r="Q490" s="17">
        <v>718.07</v>
      </c>
      <c r="R490" s="15" t="s">
        <v>23</v>
      </c>
    </row>
    <row r="491" spans="1:18" ht="14.25" customHeight="1" x14ac:dyDescent="0.3">
      <c r="A491" s="14">
        <v>45536</v>
      </c>
      <c r="B491" s="15">
        <v>2024</v>
      </c>
      <c r="C491" s="15" t="s">
        <v>46</v>
      </c>
      <c r="D491" s="15" t="s">
        <v>24</v>
      </c>
      <c r="E491" s="15" t="s">
        <v>31</v>
      </c>
      <c r="F491" s="15" t="s">
        <v>32</v>
      </c>
      <c r="G491" s="15" t="s">
        <v>34</v>
      </c>
      <c r="H491" s="16">
        <v>256</v>
      </c>
      <c r="I491" s="17">
        <v>229.3</v>
      </c>
      <c r="J491" s="18">
        <v>0.12</v>
      </c>
      <c r="K491" s="17">
        <v>58701.27</v>
      </c>
      <c r="L491" s="17">
        <v>51657.120000000003</v>
      </c>
      <c r="M491" s="17">
        <v>157.85</v>
      </c>
      <c r="N491" s="17">
        <v>40408.9</v>
      </c>
      <c r="O491" s="17">
        <v>11248.22</v>
      </c>
      <c r="P491" s="18">
        <v>0.2177</v>
      </c>
      <c r="Q491" s="17">
        <v>561.25</v>
      </c>
      <c r="R491" s="15" t="s">
        <v>23</v>
      </c>
    </row>
    <row r="492" spans="1:18" ht="14.25" customHeight="1" x14ac:dyDescent="0.3">
      <c r="A492" s="14">
        <v>45536</v>
      </c>
      <c r="B492" s="15">
        <v>2024</v>
      </c>
      <c r="C492" s="15" t="s">
        <v>46</v>
      </c>
      <c r="D492" s="15" t="s">
        <v>27</v>
      </c>
      <c r="E492" s="15" t="s">
        <v>20</v>
      </c>
      <c r="F492" s="15" t="s">
        <v>21</v>
      </c>
      <c r="G492" s="15" t="s">
        <v>34</v>
      </c>
      <c r="H492" s="16">
        <v>245</v>
      </c>
      <c r="I492" s="17">
        <v>231.58</v>
      </c>
      <c r="J492" s="18">
        <v>8.5000000000000006E-2</v>
      </c>
      <c r="K492" s="17">
        <v>56737.96</v>
      </c>
      <c r="L492" s="17">
        <v>51915.23</v>
      </c>
      <c r="M492" s="17">
        <v>157.85</v>
      </c>
      <c r="N492" s="17">
        <v>38672.58</v>
      </c>
      <c r="O492" s="17">
        <v>13242.66</v>
      </c>
      <c r="P492" s="18">
        <v>0.25509999999999999</v>
      </c>
      <c r="Q492" s="17">
        <v>944.67</v>
      </c>
      <c r="R492" s="15" t="s">
        <v>23</v>
      </c>
    </row>
    <row r="493" spans="1:18" ht="14.25" customHeight="1" x14ac:dyDescent="0.3">
      <c r="A493" s="14">
        <v>45536</v>
      </c>
      <c r="B493" s="15">
        <v>2024</v>
      </c>
      <c r="C493" s="15" t="s">
        <v>46</v>
      </c>
      <c r="D493" s="15" t="s">
        <v>30</v>
      </c>
      <c r="E493" s="15" t="s">
        <v>25</v>
      </c>
      <c r="F493" s="15" t="s">
        <v>26</v>
      </c>
      <c r="G493" s="15" t="s">
        <v>34</v>
      </c>
      <c r="H493" s="16">
        <v>132</v>
      </c>
      <c r="I493" s="17">
        <v>224.74</v>
      </c>
      <c r="J493" s="18">
        <v>5.5E-2</v>
      </c>
      <c r="K493" s="17">
        <v>29665.49</v>
      </c>
      <c r="L493" s="17">
        <v>28033.89</v>
      </c>
      <c r="M493" s="17">
        <v>157.85</v>
      </c>
      <c r="N493" s="17">
        <v>20835.84</v>
      </c>
      <c r="O493" s="17">
        <v>7198.05</v>
      </c>
      <c r="P493" s="18">
        <v>0.25679999999999997</v>
      </c>
      <c r="Q493" s="17">
        <v>607.86</v>
      </c>
      <c r="R493" s="15" t="s">
        <v>23</v>
      </c>
    </row>
    <row r="494" spans="1:18" ht="14.25" customHeight="1" x14ac:dyDescent="0.3">
      <c r="A494" s="14">
        <v>45536</v>
      </c>
      <c r="B494" s="15">
        <v>2024</v>
      </c>
      <c r="C494" s="15" t="s">
        <v>46</v>
      </c>
      <c r="D494" s="15" t="s">
        <v>19</v>
      </c>
      <c r="E494" s="15" t="s">
        <v>31</v>
      </c>
      <c r="F494" s="15" t="s">
        <v>32</v>
      </c>
      <c r="G494" s="15" t="s">
        <v>35</v>
      </c>
      <c r="H494" s="16">
        <v>899</v>
      </c>
      <c r="I494" s="17">
        <v>11.35</v>
      </c>
      <c r="J494" s="18">
        <v>0.12</v>
      </c>
      <c r="K494" s="17">
        <v>10205.99</v>
      </c>
      <c r="L494" s="17">
        <v>8981.27</v>
      </c>
      <c r="M494" s="17">
        <v>5.82</v>
      </c>
      <c r="N494" s="17">
        <v>5231.6400000000003</v>
      </c>
      <c r="O494" s="17">
        <v>3749.63</v>
      </c>
      <c r="P494" s="18">
        <v>0.41749999999999998</v>
      </c>
      <c r="Q494" s="17">
        <v>251.1</v>
      </c>
      <c r="R494" s="15" t="s">
        <v>23</v>
      </c>
    </row>
    <row r="495" spans="1:18" ht="14.25" customHeight="1" x14ac:dyDescent="0.3">
      <c r="A495" s="14">
        <v>45536</v>
      </c>
      <c r="B495" s="15">
        <v>2024</v>
      </c>
      <c r="C495" s="15" t="s">
        <v>46</v>
      </c>
      <c r="D495" s="15" t="s">
        <v>24</v>
      </c>
      <c r="E495" s="15" t="s">
        <v>20</v>
      </c>
      <c r="F495" s="15" t="s">
        <v>21</v>
      </c>
      <c r="G495" s="15" t="s">
        <v>35</v>
      </c>
      <c r="H495" s="16">
        <v>919</v>
      </c>
      <c r="I495" s="17">
        <v>11.46</v>
      </c>
      <c r="J495" s="18">
        <v>8.5000000000000006E-2</v>
      </c>
      <c r="K495" s="17">
        <v>10535.32</v>
      </c>
      <c r="L495" s="17">
        <v>9639.82</v>
      </c>
      <c r="M495" s="17">
        <v>5.82</v>
      </c>
      <c r="N495" s="17">
        <v>5348.03</v>
      </c>
      <c r="O495" s="17">
        <v>4291.79</v>
      </c>
      <c r="P495" s="18">
        <v>0.44519999999999998</v>
      </c>
      <c r="Q495" s="17">
        <v>415.82</v>
      </c>
      <c r="R495" s="15" t="s">
        <v>23</v>
      </c>
    </row>
    <row r="496" spans="1:18" ht="14.25" customHeight="1" x14ac:dyDescent="0.3">
      <c r="A496" s="14">
        <v>45536</v>
      </c>
      <c r="B496" s="15">
        <v>2024</v>
      </c>
      <c r="C496" s="15" t="s">
        <v>46</v>
      </c>
      <c r="D496" s="15" t="s">
        <v>27</v>
      </c>
      <c r="E496" s="15" t="s">
        <v>25</v>
      </c>
      <c r="F496" s="15" t="s">
        <v>26</v>
      </c>
      <c r="G496" s="15" t="s">
        <v>35</v>
      </c>
      <c r="H496" s="16">
        <v>800</v>
      </c>
      <c r="I496" s="17">
        <v>11.58</v>
      </c>
      <c r="J496" s="18">
        <v>5.5E-2</v>
      </c>
      <c r="K496" s="17">
        <v>9266.52</v>
      </c>
      <c r="L496" s="17">
        <v>8756.86</v>
      </c>
      <c r="M496" s="17">
        <v>5.82</v>
      </c>
      <c r="N496" s="17">
        <v>4655.5200000000004</v>
      </c>
      <c r="O496" s="17">
        <v>4101.34</v>
      </c>
      <c r="P496" s="18">
        <v>0.46839999999999998</v>
      </c>
      <c r="Q496" s="17">
        <v>357.65</v>
      </c>
      <c r="R496" s="15" t="s">
        <v>23</v>
      </c>
    </row>
    <row r="497" spans="1:18" ht="14.25" customHeight="1" x14ac:dyDescent="0.3">
      <c r="A497" s="14">
        <v>45536</v>
      </c>
      <c r="B497" s="15">
        <v>2024</v>
      </c>
      <c r="C497" s="15" t="s">
        <v>46</v>
      </c>
      <c r="D497" s="15" t="s">
        <v>30</v>
      </c>
      <c r="E497" s="15" t="s">
        <v>31</v>
      </c>
      <c r="F497" s="15" t="s">
        <v>32</v>
      </c>
      <c r="G497" s="15" t="s">
        <v>35</v>
      </c>
      <c r="H497" s="16">
        <v>681</v>
      </c>
      <c r="I497" s="17">
        <v>11.23</v>
      </c>
      <c r="J497" s="18">
        <v>0.12</v>
      </c>
      <c r="K497" s="17">
        <v>7649.91</v>
      </c>
      <c r="L497" s="17">
        <v>6731.92</v>
      </c>
      <c r="M497" s="17">
        <v>5.82</v>
      </c>
      <c r="N497" s="17">
        <v>3963.01</v>
      </c>
      <c r="O497" s="17">
        <v>2768.91</v>
      </c>
      <c r="P497" s="18">
        <v>0.4113</v>
      </c>
      <c r="Q497" s="17">
        <v>209.8</v>
      </c>
      <c r="R497" s="15" t="s">
        <v>23</v>
      </c>
    </row>
    <row r="498" spans="1:18" ht="14.25" customHeight="1" x14ac:dyDescent="0.3">
      <c r="A498" s="14">
        <v>45536</v>
      </c>
      <c r="B498" s="15">
        <v>2024</v>
      </c>
      <c r="C498" s="15" t="s">
        <v>46</v>
      </c>
      <c r="D498" s="15" t="s">
        <v>19</v>
      </c>
      <c r="E498" s="15" t="s">
        <v>20</v>
      </c>
      <c r="F498" s="15" t="s">
        <v>21</v>
      </c>
      <c r="G498" s="15" t="s">
        <v>36</v>
      </c>
      <c r="H498" s="16">
        <v>266</v>
      </c>
      <c r="I498" s="17">
        <v>68.92</v>
      </c>
      <c r="J498" s="18">
        <v>7.0000000000000007E-2</v>
      </c>
      <c r="K498" s="17">
        <v>18332.330000000002</v>
      </c>
      <c r="L498" s="17">
        <v>17049.07</v>
      </c>
      <c r="M498" s="17">
        <v>14.95</v>
      </c>
      <c r="N498" s="17">
        <v>3977.75</v>
      </c>
      <c r="O498" s="17">
        <v>13071.32</v>
      </c>
      <c r="P498" s="18">
        <v>0.76670000000000005</v>
      </c>
      <c r="Q498" s="17">
        <v>555.65</v>
      </c>
      <c r="R498" s="15" t="s">
        <v>23</v>
      </c>
    </row>
    <row r="499" spans="1:18" ht="14.25" customHeight="1" x14ac:dyDescent="0.3">
      <c r="A499" s="14">
        <v>45536</v>
      </c>
      <c r="B499" s="15">
        <v>2024</v>
      </c>
      <c r="C499" s="15" t="s">
        <v>46</v>
      </c>
      <c r="D499" s="15" t="s">
        <v>24</v>
      </c>
      <c r="E499" s="15" t="s">
        <v>28</v>
      </c>
      <c r="F499" s="15" t="s">
        <v>32</v>
      </c>
      <c r="G499" s="15" t="s">
        <v>36</v>
      </c>
      <c r="H499" s="16">
        <v>176</v>
      </c>
      <c r="I499" s="17">
        <v>69.61</v>
      </c>
      <c r="J499" s="18">
        <v>2.5000000000000001E-2</v>
      </c>
      <c r="K499" s="17">
        <v>12251.4</v>
      </c>
      <c r="L499" s="17">
        <v>11945.11</v>
      </c>
      <c r="M499" s="17">
        <v>14.95</v>
      </c>
      <c r="N499" s="17">
        <v>2631.9</v>
      </c>
      <c r="O499" s="17">
        <v>9313.2199999999993</v>
      </c>
      <c r="P499" s="18">
        <v>0.77969999999999995</v>
      </c>
      <c r="Q499" s="17">
        <v>419.2</v>
      </c>
      <c r="R499" s="15" t="s">
        <v>23</v>
      </c>
    </row>
    <row r="500" spans="1:18" ht="14.25" customHeight="1" x14ac:dyDescent="0.3">
      <c r="A500" s="14">
        <v>45536</v>
      </c>
      <c r="B500" s="15">
        <v>2024</v>
      </c>
      <c r="C500" s="15" t="s">
        <v>46</v>
      </c>
      <c r="D500" s="15" t="s">
        <v>27</v>
      </c>
      <c r="E500" s="15" t="s">
        <v>31</v>
      </c>
      <c r="F500" s="15" t="s">
        <v>32</v>
      </c>
      <c r="G500" s="15" t="s">
        <v>36</v>
      </c>
      <c r="H500" s="16">
        <v>345</v>
      </c>
      <c r="I500" s="17">
        <v>70.3</v>
      </c>
      <c r="J500" s="18">
        <v>0.105</v>
      </c>
      <c r="K500" s="17">
        <v>24254.14</v>
      </c>
      <c r="L500" s="17">
        <v>21707.45</v>
      </c>
      <c r="M500" s="17">
        <v>14.95</v>
      </c>
      <c r="N500" s="17">
        <v>5159.1099999999997</v>
      </c>
      <c r="O500" s="17">
        <v>16548.34</v>
      </c>
      <c r="P500" s="18">
        <v>0.76229999999999998</v>
      </c>
      <c r="Q500" s="17">
        <v>396.67</v>
      </c>
      <c r="R500" s="15" t="s">
        <v>23</v>
      </c>
    </row>
    <row r="501" spans="1:18" ht="14.25" customHeight="1" x14ac:dyDescent="0.3">
      <c r="A501" s="14">
        <v>45536</v>
      </c>
      <c r="B501" s="15">
        <v>2024</v>
      </c>
      <c r="C501" s="15" t="s">
        <v>46</v>
      </c>
      <c r="D501" s="15" t="s">
        <v>30</v>
      </c>
      <c r="E501" s="15" t="s">
        <v>20</v>
      </c>
      <c r="F501" s="15" t="s">
        <v>26</v>
      </c>
      <c r="G501" s="15" t="s">
        <v>36</v>
      </c>
      <c r="H501" s="16">
        <v>219</v>
      </c>
      <c r="I501" s="17">
        <v>68.23</v>
      </c>
      <c r="J501" s="18">
        <v>7.0000000000000007E-2</v>
      </c>
      <c r="K501" s="17">
        <v>14941.69</v>
      </c>
      <c r="L501" s="17">
        <v>13895.77</v>
      </c>
      <c r="M501" s="17">
        <v>14.95</v>
      </c>
      <c r="N501" s="17">
        <v>3274.92</v>
      </c>
      <c r="O501" s="17">
        <v>10620.86</v>
      </c>
      <c r="P501" s="18">
        <v>0.76429999999999998</v>
      </c>
      <c r="Q501" s="17">
        <v>506.6</v>
      </c>
      <c r="R501" s="15" t="s">
        <v>23</v>
      </c>
    </row>
    <row r="502" spans="1:18" ht="14.25" customHeight="1" x14ac:dyDescent="0.3">
      <c r="A502" s="14">
        <v>45536</v>
      </c>
      <c r="B502" s="15">
        <v>2024</v>
      </c>
      <c r="C502" s="15" t="s">
        <v>46</v>
      </c>
      <c r="D502" s="15" t="s">
        <v>19</v>
      </c>
      <c r="E502" s="15" t="s">
        <v>25</v>
      </c>
      <c r="F502" s="15" t="s">
        <v>26</v>
      </c>
      <c r="G502" s="15" t="s">
        <v>37</v>
      </c>
      <c r="H502" s="16">
        <v>173</v>
      </c>
      <c r="I502" s="17">
        <v>52.7</v>
      </c>
      <c r="J502" s="18">
        <v>0.04</v>
      </c>
      <c r="K502" s="17">
        <v>9117.2000000000007</v>
      </c>
      <c r="L502" s="17">
        <v>8752.5</v>
      </c>
      <c r="M502" s="17">
        <v>7.47</v>
      </c>
      <c r="N502" s="17">
        <v>1292.83</v>
      </c>
      <c r="O502" s="17">
        <v>7459.68</v>
      </c>
      <c r="P502" s="18">
        <v>0.85229999999999995</v>
      </c>
      <c r="Q502" s="17">
        <v>296.26</v>
      </c>
      <c r="R502" s="15" t="s">
        <v>23</v>
      </c>
    </row>
    <row r="503" spans="1:18" ht="14.25" customHeight="1" x14ac:dyDescent="0.3">
      <c r="A503" s="14">
        <v>45536</v>
      </c>
      <c r="B503" s="15">
        <v>2024</v>
      </c>
      <c r="C503" s="15" t="s">
        <v>46</v>
      </c>
      <c r="D503" s="15" t="s">
        <v>24</v>
      </c>
      <c r="E503" s="15" t="s">
        <v>28</v>
      </c>
      <c r="F503" s="15" t="s">
        <v>29</v>
      </c>
      <c r="G503" s="15" t="s">
        <v>37</v>
      </c>
      <c r="H503" s="16">
        <v>140</v>
      </c>
      <c r="I503" s="17">
        <v>53.23</v>
      </c>
      <c r="J503" s="18">
        <v>2.5000000000000001E-2</v>
      </c>
      <c r="K503" s="17">
        <v>7452.65</v>
      </c>
      <c r="L503" s="17">
        <v>7266.33</v>
      </c>
      <c r="M503" s="17">
        <v>7.47</v>
      </c>
      <c r="N503" s="17">
        <v>1046.22</v>
      </c>
      <c r="O503" s="17">
        <v>6220.11</v>
      </c>
      <c r="P503" s="18">
        <v>0.85599999999999998</v>
      </c>
      <c r="Q503" s="17">
        <v>278.23</v>
      </c>
      <c r="R503" s="15" t="s">
        <v>23</v>
      </c>
    </row>
    <row r="504" spans="1:18" ht="14.25" customHeight="1" x14ac:dyDescent="0.3">
      <c r="A504" s="14">
        <v>45536</v>
      </c>
      <c r="B504" s="15">
        <v>2024</v>
      </c>
      <c r="C504" s="15" t="s">
        <v>46</v>
      </c>
      <c r="D504" s="15" t="s">
        <v>27</v>
      </c>
      <c r="E504" s="15" t="s">
        <v>20</v>
      </c>
      <c r="F504" s="15" t="s">
        <v>26</v>
      </c>
      <c r="G504" s="15" t="s">
        <v>37</v>
      </c>
      <c r="H504" s="16">
        <v>260</v>
      </c>
      <c r="I504" s="17">
        <v>53.76</v>
      </c>
      <c r="J504" s="18">
        <v>7.0000000000000007E-2</v>
      </c>
      <c r="K504" s="17">
        <v>13977.05</v>
      </c>
      <c r="L504" s="17">
        <v>12998.66</v>
      </c>
      <c r="M504" s="17">
        <v>7.47</v>
      </c>
      <c r="N504" s="17">
        <v>1942.98</v>
      </c>
      <c r="O504" s="17">
        <v>11055.68</v>
      </c>
      <c r="P504" s="18">
        <v>0.85050000000000003</v>
      </c>
      <c r="Q504" s="17">
        <v>382.67</v>
      </c>
      <c r="R504" s="15" t="s">
        <v>23</v>
      </c>
    </row>
    <row r="505" spans="1:18" ht="14.25" customHeight="1" x14ac:dyDescent="0.3">
      <c r="A505" s="14">
        <v>45536</v>
      </c>
      <c r="B505" s="15">
        <v>2024</v>
      </c>
      <c r="C505" s="15" t="s">
        <v>46</v>
      </c>
      <c r="D505" s="15" t="s">
        <v>30</v>
      </c>
      <c r="E505" s="15" t="s">
        <v>25</v>
      </c>
      <c r="F505" s="15" t="s">
        <v>21</v>
      </c>
      <c r="G505" s="15" t="s">
        <v>37</v>
      </c>
      <c r="H505" s="16">
        <v>137</v>
      </c>
      <c r="I505" s="17">
        <v>52.18</v>
      </c>
      <c r="J505" s="18">
        <v>0.04</v>
      </c>
      <c r="K505" s="17">
        <v>7148.09</v>
      </c>
      <c r="L505" s="17">
        <v>6862.17</v>
      </c>
      <c r="M505" s="17">
        <v>7.47</v>
      </c>
      <c r="N505" s="17">
        <v>1023.8</v>
      </c>
      <c r="O505" s="17">
        <v>5838.37</v>
      </c>
      <c r="P505" s="18">
        <v>0.8508</v>
      </c>
      <c r="Q505" s="17">
        <v>249.13</v>
      </c>
      <c r="R505" s="15" t="s">
        <v>23</v>
      </c>
    </row>
    <row r="506" spans="1:18" ht="14.25" customHeight="1" x14ac:dyDescent="0.3">
      <c r="A506" s="14">
        <v>45566</v>
      </c>
      <c r="B506" s="15">
        <v>2024</v>
      </c>
      <c r="C506" s="15" t="s">
        <v>47</v>
      </c>
      <c r="D506" s="15" t="s">
        <v>19</v>
      </c>
      <c r="E506" s="15" t="s">
        <v>25</v>
      </c>
      <c r="F506" s="15" t="s">
        <v>26</v>
      </c>
      <c r="G506" s="15" t="s">
        <v>22</v>
      </c>
      <c r="H506" s="16">
        <v>174</v>
      </c>
      <c r="I506" s="17">
        <v>502.69</v>
      </c>
      <c r="J506" s="18">
        <v>0.08</v>
      </c>
      <c r="K506" s="17">
        <v>87468.83</v>
      </c>
      <c r="L506" s="17">
        <v>80471.320000000007</v>
      </c>
      <c r="M506" s="17">
        <v>386.31</v>
      </c>
      <c r="N506" s="17">
        <v>67217.31</v>
      </c>
      <c r="O506" s="17">
        <v>13254.01</v>
      </c>
      <c r="P506" s="18">
        <v>0.16470000000000001</v>
      </c>
      <c r="Q506" s="17">
        <v>1443.64</v>
      </c>
      <c r="R506" s="15" t="s">
        <v>40</v>
      </c>
    </row>
    <row r="507" spans="1:18" ht="14.25" customHeight="1" x14ac:dyDescent="0.3">
      <c r="A507" s="14">
        <v>45566</v>
      </c>
      <c r="B507" s="15">
        <v>2024</v>
      </c>
      <c r="C507" s="15" t="s">
        <v>47</v>
      </c>
      <c r="D507" s="15" t="s">
        <v>24</v>
      </c>
      <c r="E507" s="15" t="s">
        <v>28</v>
      </c>
      <c r="F507" s="15" t="s">
        <v>29</v>
      </c>
      <c r="G507" s="15" t="s">
        <v>22</v>
      </c>
      <c r="H507" s="16">
        <v>130</v>
      </c>
      <c r="I507" s="17">
        <v>507.75</v>
      </c>
      <c r="J507" s="18">
        <v>6.5000000000000002E-2</v>
      </c>
      <c r="K507" s="17">
        <v>66007.58</v>
      </c>
      <c r="L507" s="17">
        <v>61717.08</v>
      </c>
      <c r="M507" s="17">
        <v>386.31</v>
      </c>
      <c r="N507" s="17">
        <v>50219.83</v>
      </c>
      <c r="O507" s="17">
        <v>11497.25</v>
      </c>
      <c r="P507" s="18">
        <v>0.18629999999999999</v>
      </c>
      <c r="Q507" s="17">
        <v>1345.16</v>
      </c>
      <c r="R507" s="15" t="s">
        <v>40</v>
      </c>
    </row>
    <row r="508" spans="1:18" ht="14.25" customHeight="1" x14ac:dyDescent="0.3">
      <c r="A508" s="14">
        <v>45566</v>
      </c>
      <c r="B508" s="15">
        <v>2024</v>
      </c>
      <c r="C508" s="15" t="s">
        <v>47</v>
      </c>
      <c r="D508" s="15" t="s">
        <v>27</v>
      </c>
      <c r="E508" s="15" t="s">
        <v>31</v>
      </c>
      <c r="F508" s="15" t="s">
        <v>32</v>
      </c>
      <c r="G508" s="15" t="s">
        <v>22</v>
      </c>
      <c r="H508" s="16">
        <v>271</v>
      </c>
      <c r="I508" s="17">
        <v>512.79999999999995</v>
      </c>
      <c r="J508" s="18">
        <v>0.14499999999999999</v>
      </c>
      <c r="K508" s="17">
        <v>138968.49</v>
      </c>
      <c r="L508" s="17">
        <v>118818.06</v>
      </c>
      <c r="M508" s="17">
        <v>386.31</v>
      </c>
      <c r="N508" s="17">
        <v>104689.03</v>
      </c>
      <c r="O508" s="17">
        <v>14129.03</v>
      </c>
      <c r="P508" s="18">
        <v>0.11890000000000001</v>
      </c>
      <c r="Q508" s="17">
        <v>1170.46</v>
      </c>
      <c r="R508" s="15" t="s">
        <v>40</v>
      </c>
    </row>
    <row r="509" spans="1:18" ht="14.25" customHeight="1" x14ac:dyDescent="0.3">
      <c r="A509" s="14">
        <v>45566</v>
      </c>
      <c r="B509" s="15">
        <v>2024</v>
      </c>
      <c r="C509" s="15" t="s">
        <v>47</v>
      </c>
      <c r="D509" s="15" t="s">
        <v>30</v>
      </c>
      <c r="E509" s="15" t="s">
        <v>20</v>
      </c>
      <c r="F509" s="15" t="s">
        <v>21</v>
      </c>
      <c r="G509" s="15" t="s">
        <v>22</v>
      </c>
      <c r="H509" s="16">
        <v>164</v>
      </c>
      <c r="I509" s="17">
        <v>497.65</v>
      </c>
      <c r="J509" s="18">
        <v>0.11</v>
      </c>
      <c r="K509" s="17">
        <v>81613.97</v>
      </c>
      <c r="L509" s="17">
        <v>72636.429999999993</v>
      </c>
      <c r="M509" s="17">
        <v>386.31</v>
      </c>
      <c r="N509" s="17">
        <v>63354.25</v>
      </c>
      <c r="O509" s="17">
        <v>9282.18</v>
      </c>
      <c r="P509" s="18">
        <v>0.1278</v>
      </c>
      <c r="Q509" s="17">
        <v>1473.66</v>
      </c>
      <c r="R509" s="15" t="s">
        <v>40</v>
      </c>
    </row>
    <row r="510" spans="1:18" ht="14.25" customHeight="1" x14ac:dyDescent="0.3">
      <c r="A510" s="14">
        <v>45566</v>
      </c>
      <c r="B510" s="15">
        <v>2024</v>
      </c>
      <c r="C510" s="15" t="s">
        <v>47</v>
      </c>
      <c r="D510" s="15" t="s">
        <v>19</v>
      </c>
      <c r="E510" s="15" t="s">
        <v>28</v>
      </c>
      <c r="F510" s="15" t="s">
        <v>29</v>
      </c>
      <c r="G510" s="15" t="s">
        <v>33</v>
      </c>
      <c r="H510" s="16">
        <v>75</v>
      </c>
      <c r="I510" s="17">
        <v>713.5</v>
      </c>
      <c r="J510" s="18">
        <v>6.5000000000000002E-2</v>
      </c>
      <c r="K510" s="17">
        <v>53512.84</v>
      </c>
      <c r="L510" s="17">
        <v>50034.51</v>
      </c>
      <c r="M510" s="17">
        <v>573.23</v>
      </c>
      <c r="N510" s="17">
        <v>42992.61</v>
      </c>
      <c r="O510" s="17">
        <v>7041.9</v>
      </c>
      <c r="P510" s="18">
        <v>0.14069999999999999</v>
      </c>
      <c r="Q510" s="17">
        <v>1237.92</v>
      </c>
      <c r="R510" s="15" t="s">
        <v>40</v>
      </c>
    </row>
    <row r="511" spans="1:18" ht="14.25" customHeight="1" x14ac:dyDescent="0.3">
      <c r="A511" s="14">
        <v>45566</v>
      </c>
      <c r="B511" s="15">
        <v>2024</v>
      </c>
      <c r="C511" s="15" t="s">
        <v>47</v>
      </c>
      <c r="D511" s="15" t="s">
        <v>24</v>
      </c>
      <c r="E511" s="15" t="s">
        <v>31</v>
      </c>
      <c r="F511" s="15" t="s">
        <v>32</v>
      </c>
      <c r="G511" s="15" t="s">
        <v>33</v>
      </c>
      <c r="H511" s="16">
        <v>158</v>
      </c>
      <c r="I511" s="17">
        <v>720.68</v>
      </c>
      <c r="J511" s="18">
        <v>0.14499999999999999</v>
      </c>
      <c r="K511" s="17">
        <v>113866.72</v>
      </c>
      <c r="L511" s="17">
        <v>97356.05</v>
      </c>
      <c r="M511" s="17">
        <v>573.23</v>
      </c>
      <c r="N511" s="17">
        <v>90571.09</v>
      </c>
      <c r="O511" s="17">
        <v>6784.96</v>
      </c>
      <c r="P511" s="18">
        <v>6.9699999999999998E-2</v>
      </c>
      <c r="Q511" s="17">
        <v>1198.49</v>
      </c>
      <c r="R511" s="15" t="s">
        <v>40</v>
      </c>
    </row>
    <row r="512" spans="1:18" ht="14.25" customHeight="1" x14ac:dyDescent="0.3">
      <c r="A512" s="14">
        <v>45566</v>
      </c>
      <c r="B512" s="15">
        <v>2024</v>
      </c>
      <c r="C512" s="15" t="s">
        <v>47</v>
      </c>
      <c r="D512" s="15" t="s">
        <v>27</v>
      </c>
      <c r="E512" s="15" t="s">
        <v>20</v>
      </c>
      <c r="F512" s="15" t="s">
        <v>21</v>
      </c>
      <c r="G512" s="15" t="s">
        <v>33</v>
      </c>
      <c r="H512" s="16">
        <v>158</v>
      </c>
      <c r="I512" s="17">
        <v>727.85</v>
      </c>
      <c r="J512" s="18">
        <v>0.11</v>
      </c>
      <c r="K512" s="17">
        <v>114999.72</v>
      </c>
      <c r="L512" s="17">
        <v>102349.75</v>
      </c>
      <c r="M512" s="17">
        <v>573.23</v>
      </c>
      <c r="N512" s="17">
        <v>90571.09</v>
      </c>
      <c r="O512" s="17">
        <v>11778.66</v>
      </c>
      <c r="P512" s="18">
        <v>0.11509999999999999</v>
      </c>
      <c r="Q512" s="17">
        <v>1871.33</v>
      </c>
      <c r="R512" s="15" t="s">
        <v>40</v>
      </c>
    </row>
    <row r="513" spans="1:18" ht="14.25" customHeight="1" x14ac:dyDescent="0.3">
      <c r="A513" s="14">
        <v>45566</v>
      </c>
      <c r="B513" s="15">
        <v>2024</v>
      </c>
      <c r="C513" s="15" t="s">
        <v>47</v>
      </c>
      <c r="D513" s="15" t="s">
        <v>30</v>
      </c>
      <c r="E513" s="15" t="s">
        <v>25</v>
      </c>
      <c r="F513" s="15" t="s">
        <v>26</v>
      </c>
      <c r="G513" s="15" t="s">
        <v>33</v>
      </c>
      <c r="H513" s="16">
        <v>92</v>
      </c>
      <c r="I513" s="17">
        <v>706.33</v>
      </c>
      <c r="J513" s="18">
        <v>0.08</v>
      </c>
      <c r="K513" s="17">
        <v>64982.7</v>
      </c>
      <c r="L513" s="17">
        <v>59784.08</v>
      </c>
      <c r="M513" s="17">
        <v>573.23</v>
      </c>
      <c r="N513" s="17">
        <v>52737.599999999999</v>
      </c>
      <c r="O513" s="17">
        <v>7046.48</v>
      </c>
      <c r="P513" s="18">
        <v>0.1179</v>
      </c>
      <c r="Q513" s="17">
        <v>1257.53</v>
      </c>
      <c r="R513" s="15" t="s">
        <v>40</v>
      </c>
    </row>
    <row r="514" spans="1:18" ht="14.25" customHeight="1" x14ac:dyDescent="0.3">
      <c r="A514" s="14">
        <v>45566</v>
      </c>
      <c r="B514" s="15">
        <v>2024</v>
      </c>
      <c r="C514" s="15" t="s">
        <v>47</v>
      </c>
      <c r="D514" s="15" t="s">
        <v>19</v>
      </c>
      <c r="E514" s="15" t="s">
        <v>31</v>
      </c>
      <c r="F514" s="15" t="s">
        <v>32</v>
      </c>
      <c r="G514" s="15" t="s">
        <v>34</v>
      </c>
      <c r="H514" s="16">
        <v>295</v>
      </c>
      <c r="I514" s="17">
        <v>227.02</v>
      </c>
      <c r="J514" s="18">
        <v>0.14499999999999999</v>
      </c>
      <c r="K514" s="17">
        <v>66970.960000000006</v>
      </c>
      <c r="L514" s="17">
        <v>57260.17</v>
      </c>
      <c r="M514" s="17">
        <v>157.85</v>
      </c>
      <c r="N514" s="17">
        <v>46564.94</v>
      </c>
      <c r="O514" s="17">
        <v>10695.23</v>
      </c>
      <c r="P514" s="18">
        <v>0.18679999999999999</v>
      </c>
      <c r="Q514" s="17">
        <v>789.2</v>
      </c>
      <c r="R514" s="15" t="s">
        <v>40</v>
      </c>
    </row>
    <row r="515" spans="1:18" ht="14.25" customHeight="1" x14ac:dyDescent="0.3">
      <c r="A515" s="14">
        <v>45566</v>
      </c>
      <c r="B515" s="15">
        <v>2024</v>
      </c>
      <c r="C515" s="15" t="s">
        <v>47</v>
      </c>
      <c r="D515" s="15" t="s">
        <v>24</v>
      </c>
      <c r="E515" s="15" t="s">
        <v>20</v>
      </c>
      <c r="F515" s="15" t="s">
        <v>21</v>
      </c>
      <c r="G515" s="15" t="s">
        <v>34</v>
      </c>
      <c r="H515" s="16">
        <v>287</v>
      </c>
      <c r="I515" s="17">
        <v>229.3</v>
      </c>
      <c r="J515" s="18">
        <v>0.11</v>
      </c>
      <c r="K515" s="17">
        <v>65809.63</v>
      </c>
      <c r="L515" s="17">
        <v>58570.57</v>
      </c>
      <c r="M515" s="17">
        <v>157.85</v>
      </c>
      <c r="N515" s="17">
        <v>45302.16</v>
      </c>
      <c r="O515" s="17">
        <v>13268.41</v>
      </c>
      <c r="P515" s="18">
        <v>0.22650000000000001</v>
      </c>
      <c r="Q515" s="17">
        <v>1336.62</v>
      </c>
      <c r="R515" s="15" t="s">
        <v>40</v>
      </c>
    </row>
    <row r="516" spans="1:18" ht="14.25" customHeight="1" x14ac:dyDescent="0.3">
      <c r="A516" s="14">
        <v>45566</v>
      </c>
      <c r="B516" s="15">
        <v>2024</v>
      </c>
      <c r="C516" s="15" t="s">
        <v>47</v>
      </c>
      <c r="D516" s="15" t="s">
        <v>27</v>
      </c>
      <c r="E516" s="15" t="s">
        <v>25</v>
      </c>
      <c r="F516" s="15" t="s">
        <v>26</v>
      </c>
      <c r="G516" s="15" t="s">
        <v>34</v>
      </c>
      <c r="H516" s="16">
        <v>260</v>
      </c>
      <c r="I516" s="17">
        <v>231.58</v>
      </c>
      <c r="J516" s="18">
        <v>0.08</v>
      </c>
      <c r="K516" s="17">
        <v>60211.71</v>
      </c>
      <c r="L516" s="17">
        <v>55394.77</v>
      </c>
      <c r="M516" s="17">
        <v>157.85</v>
      </c>
      <c r="N516" s="17">
        <v>41040.29</v>
      </c>
      <c r="O516" s="17">
        <v>14354.49</v>
      </c>
      <c r="P516" s="18">
        <v>0.2591</v>
      </c>
      <c r="Q516" s="17">
        <v>1108.1300000000001</v>
      </c>
      <c r="R516" s="15" t="s">
        <v>40</v>
      </c>
    </row>
    <row r="517" spans="1:18" ht="14.25" customHeight="1" x14ac:dyDescent="0.3">
      <c r="A517" s="14">
        <v>45566</v>
      </c>
      <c r="B517" s="15">
        <v>2024</v>
      </c>
      <c r="C517" s="15" t="s">
        <v>47</v>
      </c>
      <c r="D517" s="15" t="s">
        <v>30</v>
      </c>
      <c r="E517" s="15" t="s">
        <v>31</v>
      </c>
      <c r="F517" s="15" t="s">
        <v>32</v>
      </c>
      <c r="G517" s="15" t="s">
        <v>34</v>
      </c>
      <c r="H517" s="16">
        <v>233</v>
      </c>
      <c r="I517" s="17">
        <v>224.74</v>
      </c>
      <c r="J517" s="18">
        <v>0.14499999999999999</v>
      </c>
      <c r="K517" s="17">
        <v>52364.08</v>
      </c>
      <c r="L517" s="17">
        <v>44771.29</v>
      </c>
      <c r="M517" s="17">
        <v>157.85</v>
      </c>
      <c r="N517" s="17">
        <v>36778.410000000003</v>
      </c>
      <c r="O517" s="17">
        <v>7992.88</v>
      </c>
      <c r="P517" s="18">
        <v>0.17849999999999999</v>
      </c>
      <c r="Q517" s="17">
        <v>655.41</v>
      </c>
      <c r="R517" s="15" t="s">
        <v>40</v>
      </c>
    </row>
    <row r="518" spans="1:18" ht="14.25" customHeight="1" x14ac:dyDescent="0.3">
      <c r="A518" s="14">
        <v>45566</v>
      </c>
      <c r="B518" s="15">
        <v>2024</v>
      </c>
      <c r="C518" s="15" t="s">
        <v>47</v>
      </c>
      <c r="D518" s="15" t="s">
        <v>19</v>
      </c>
      <c r="E518" s="15" t="s">
        <v>20</v>
      </c>
      <c r="F518" s="15" t="s">
        <v>21</v>
      </c>
      <c r="G518" s="15" t="s">
        <v>35</v>
      </c>
      <c r="H518" s="16">
        <v>1106</v>
      </c>
      <c r="I518" s="17">
        <v>11.35</v>
      </c>
      <c r="J518" s="18">
        <v>0.11</v>
      </c>
      <c r="K518" s="17">
        <v>12555.98</v>
      </c>
      <c r="L518" s="17">
        <v>11174.82</v>
      </c>
      <c r="M518" s="17">
        <v>5.82</v>
      </c>
      <c r="N518" s="17">
        <v>6436.26</v>
      </c>
      <c r="O518" s="17">
        <v>4738.57</v>
      </c>
      <c r="P518" s="18">
        <v>0.42399999999999999</v>
      </c>
      <c r="Q518" s="17">
        <v>548.27</v>
      </c>
      <c r="R518" s="15" t="s">
        <v>40</v>
      </c>
    </row>
    <row r="519" spans="1:18" ht="14.25" customHeight="1" x14ac:dyDescent="0.3">
      <c r="A519" s="14">
        <v>45566</v>
      </c>
      <c r="B519" s="15">
        <v>2024</v>
      </c>
      <c r="C519" s="15" t="s">
        <v>47</v>
      </c>
      <c r="D519" s="15" t="s">
        <v>24</v>
      </c>
      <c r="E519" s="15" t="s">
        <v>25</v>
      </c>
      <c r="F519" s="15" t="s">
        <v>26</v>
      </c>
      <c r="G519" s="15" t="s">
        <v>35</v>
      </c>
      <c r="H519" s="16">
        <v>918</v>
      </c>
      <c r="I519" s="17">
        <v>11.46</v>
      </c>
      <c r="J519" s="18">
        <v>0.08</v>
      </c>
      <c r="K519" s="17">
        <v>10523.86</v>
      </c>
      <c r="L519" s="17">
        <v>9681.9599999999991</v>
      </c>
      <c r="M519" s="17">
        <v>5.82</v>
      </c>
      <c r="N519" s="17">
        <v>5342.21</v>
      </c>
      <c r="O519" s="17">
        <v>4339.75</v>
      </c>
      <c r="P519" s="18">
        <v>0.44819999999999999</v>
      </c>
      <c r="Q519" s="17">
        <v>533.70000000000005</v>
      </c>
      <c r="R519" s="15" t="s">
        <v>40</v>
      </c>
    </row>
    <row r="520" spans="1:18" ht="14.25" customHeight="1" x14ac:dyDescent="0.3">
      <c r="A520" s="14">
        <v>45566</v>
      </c>
      <c r="B520" s="15">
        <v>2024</v>
      </c>
      <c r="C520" s="15" t="s">
        <v>47</v>
      </c>
      <c r="D520" s="15" t="s">
        <v>27</v>
      </c>
      <c r="E520" s="15" t="s">
        <v>31</v>
      </c>
      <c r="F520" s="15" t="s">
        <v>32</v>
      </c>
      <c r="G520" s="15" t="s">
        <v>35</v>
      </c>
      <c r="H520" s="16">
        <v>1385</v>
      </c>
      <c r="I520" s="17">
        <v>11.58</v>
      </c>
      <c r="J520" s="18">
        <v>0.14499999999999999</v>
      </c>
      <c r="K520" s="17">
        <v>16042.66</v>
      </c>
      <c r="L520" s="17">
        <v>13716.48</v>
      </c>
      <c r="M520" s="17">
        <v>5.82</v>
      </c>
      <c r="N520" s="17">
        <v>8059.87</v>
      </c>
      <c r="O520" s="17">
        <v>5656.61</v>
      </c>
      <c r="P520" s="18">
        <v>0.41239999999999999</v>
      </c>
      <c r="Q520" s="17">
        <v>399.97</v>
      </c>
      <c r="R520" s="15" t="s">
        <v>40</v>
      </c>
    </row>
    <row r="521" spans="1:18" ht="14.25" customHeight="1" x14ac:dyDescent="0.3">
      <c r="A521" s="14">
        <v>45566</v>
      </c>
      <c r="B521" s="15">
        <v>2024</v>
      </c>
      <c r="C521" s="15" t="s">
        <v>47</v>
      </c>
      <c r="D521" s="15" t="s">
        <v>30</v>
      </c>
      <c r="E521" s="15" t="s">
        <v>20</v>
      </c>
      <c r="F521" s="15" t="s">
        <v>26</v>
      </c>
      <c r="G521" s="15" t="s">
        <v>35</v>
      </c>
      <c r="H521" s="16">
        <v>814</v>
      </c>
      <c r="I521" s="17">
        <v>11.23</v>
      </c>
      <c r="J521" s="18">
        <v>0.11</v>
      </c>
      <c r="K521" s="17">
        <v>9143.9500000000007</v>
      </c>
      <c r="L521" s="17">
        <v>8138.11</v>
      </c>
      <c r="M521" s="17">
        <v>5.82</v>
      </c>
      <c r="N521" s="17">
        <v>4736.99</v>
      </c>
      <c r="O521" s="17">
        <v>3401.12</v>
      </c>
      <c r="P521" s="18">
        <v>0.41789999999999999</v>
      </c>
      <c r="Q521" s="17">
        <v>483.55</v>
      </c>
      <c r="R521" s="15" t="s">
        <v>40</v>
      </c>
    </row>
    <row r="522" spans="1:18" ht="14.25" customHeight="1" x14ac:dyDescent="0.3">
      <c r="A522" s="14">
        <v>45566</v>
      </c>
      <c r="B522" s="15">
        <v>2024</v>
      </c>
      <c r="C522" s="15" t="s">
        <v>47</v>
      </c>
      <c r="D522" s="15" t="s">
        <v>19</v>
      </c>
      <c r="E522" s="15" t="s">
        <v>28</v>
      </c>
      <c r="F522" s="15" t="s">
        <v>32</v>
      </c>
      <c r="G522" s="15" t="s">
        <v>36</v>
      </c>
      <c r="H522" s="16">
        <v>202</v>
      </c>
      <c r="I522" s="17">
        <v>68.92</v>
      </c>
      <c r="J522" s="18">
        <v>0.05</v>
      </c>
      <c r="K522" s="17">
        <v>13921.55</v>
      </c>
      <c r="L522" s="17">
        <v>13225.47</v>
      </c>
      <c r="M522" s="17">
        <v>14.95</v>
      </c>
      <c r="N522" s="17">
        <v>3020.7</v>
      </c>
      <c r="O522" s="17">
        <v>10204.77</v>
      </c>
      <c r="P522" s="18">
        <v>0.77159999999999995</v>
      </c>
      <c r="Q522" s="17">
        <v>594.21</v>
      </c>
      <c r="R522" s="15" t="s">
        <v>40</v>
      </c>
    </row>
    <row r="523" spans="1:18" ht="14.25" customHeight="1" x14ac:dyDescent="0.3">
      <c r="A523" s="14">
        <v>45566</v>
      </c>
      <c r="B523" s="15">
        <v>2024</v>
      </c>
      <c r="C523" s="15" t="s">
        <v>47</v>
      </c>
      <c r="D523" s="15" t="s">
        <v>24</v>
      </c>
      <c r="E523" s="15" t="s">
        <v>31</v>
      </c>
      <c r="F523" s="15" t="s">
        <v>32</v>
      </c>
      <c r="G523" s="15" t="s">
        <v>36</v>
      </c>
      <c r="H523" s="16">
        <v>428</v>
      </c>
      <c r="I523" s="17">
        <v>69.61</v>
      </c>
      <c r="J523" s="18">
        <v>0.13</v>
      </c>
      <c r="K523" s="17">
        <v>29793.17</v>
      </c>
      <c r="L523" s="17">
        <v>25920.05</v>
      </c>
      <c r="M523" s="17">
        <v>14.95</v>
      </c>
      <c r="N523" s="17">
        <v>6400.29</v>
      </c>
      <c r="O523" s="17">
        <v>19519.759999999998</v>
      </c>
      <c r="P523" s="18">
        <v>0.75309999999999999</v>
      </c>
      <c r="Q523" s="17">
        <v>563.99</v>
      </c>
      <c r="R523" s="15" t="s">
        <v>40</v>
      </c>
    </row>
    <row r="524" spans="1:18" ht="14.25" customHeight="1" x14ac:dyDescent="0.3">
      <c r="A524" s="14">
        <v>45566</v>
      </c>
      <c r="B524" s="15">
        <v>2024</v>
      </c>
      <c r="C524" s="15" t="s">
        <v>47</v>
      </c>
      <c r="D524" s="15" t="s">
        <v>27</v>
      </c>
      <c r="E524" s="15" t="s">
        <v>20</v>
      </c>
      <c r="F524" s="15" t="s">
        <v>26</v>
      </c>
      <c r="G524" s="15" t="s">
        <v>36</v>
      </c>
      <c r="H524" s="16">
        <v>422</v>
      </c>
      <c r="I524" s="17">
        <v>70.3</v>
      </c>
      <c r="J524" s="18">
        <v>9.5000000000000001E-2</v>
      </c>
      <c r="K524" s="17">
        <v>29667.38</v>
      </c>
      <c r="L524" s="17">
        <v>26848.98</v>
      </c>
      <c r="M524" s="17">
        <v>14.95</v>
      </c>
      <c r="N524" s="17">
        <v>6310.57</v>
      </c>
      <c r="O524" s="17">
        <v>20538.41</v>
      </c>
      <c r="P524" s="18">
        <v>0.76500000000000001</v>
      </c>
      <c r="Q524" s="17">
        <v>922.94</v>
      </c>
      <c r="R524" s="15" t="s">
        <v>40</v>
      </c>
    </row>
    <row r="525" spans="1:18" ht="14.25" customHeight="1" x14ac:dyDescent="0.3">
      <c r="A525" s="14">
        <v>45566</v>
      </c>
      <c r="B525" s="15">
        <v>2024</v>
      </c>
      <c r="C525" s="15" t="s">
        <v>47</v>
      </c>
      <c r="D525" s="15" t="s">
        <v>30</v>
      </c>
      <c r="E525" s="15" t="s">
        <v>28</v>
      </c>
      <c r="F525" s="15" t="s">
        <v>29</v>
      </c>
      <c r="G525" s="15" t="s">
        <v>36</v>
      </c>
      <c r="H525" s="16">
        <v>146</v>
      </c>
      <c r="I525" s="17">
        <v>68.23</v>
      </c>
      <c r="J525" s="18">
        <v>0.05</v>
      </c>
      <c r="K525" s="17">
        <v>9961.1299999999992</v>
      </c>
      <c r="L525" s="17">
        <v>9463.07</v>
      </c>
      <c r="M525" s="17">
        <v>14.95</v>
      </c>
      <c r="N525" s="17">
        <v>2183.2800000000002</v>
      </c>
      <c r="O525" s="17">
        <v>7279.79</v>
      </c>
      <c r="P525" s="18">
        <v>0.76929999999999998</v>
      </c>
      <c r="Q525" s="17">
        <v>521.97</v>
      </c>
      <c r="R525" s="15" t="s">
        <v>40</v>
      </c>
    </row>
    <row r="526" spans="1:18" ht="14.25" customHeight="1" x14ac:dyDescent="0.3">
      <c r="A526" s="14">
        <v>45566</v>
      </c>
      <c r="B526" s="15">
        <v>2024</v>
      </c>
      <c r="C526" s="15" t="s">
        <v>47</v>
      </c>
      <c r="D526" s="15" t="s">
        <v>19</v>
      </c>
      <c r="E526" s="15" t="s">
        <v>28</v>
      </c>
      <c r="F526" s="15" t="s">
        <v>29</v>
      </c>
      <c r="G526" s="15" t="s">
        <v>37</v>
      </c>
      <c r="H526" s="16">
        <v>172</v>
      </c>
      <c r="I526" s="17">
        <v>52.7</v>
      </c>
      <c r="J526" s="18">
        <v>0.05</v>
      </c>
      <c r="K526" s="17">
        <v>9064.49</v>
      </c>
      <c r="L526" s="17">
        <v>8611.27</v>
      </c>
      <c r="M526" s="17">
        <v>7.47</v>
      </c>
      <c r="N526" s="17">
        <v>1285.3599999999999</v>
      </c>
      <c r="O526" s="17">
        <v>7325.92</v>
      </c>
      <c r="P526" s="18">
        <v>0.85070000000000001</v>
      </c>
      <c r="Q526" s="17">
        <v>351.57</v>
      </c>
      <c r="R526" s="15" t="s">
        <v>40</v>
      </c>
    </row>
    <row r="527" spans="1:18" ht="14.25" customHeight="1" x14ac:dyDescent="0.3">
      <c r="A527" s="14">
        <v>45566</v>
      </c>
      <c r="B527" s="15">
        <v>2024</v>
      </c>
      <c r="C527" s="15" t="s">
        <v>47</v>
      </c>
      <c r="D527" s="15" t="s">
        <v>24</v>
      </c>
      <c r="E527" s="15" t="s">
        <v>20</v>
      </c>
      <c r="F527" s="15" t="s">
        <v>26</v>
      </c>
      <c r="G527" s="15" t="s">
        <v>37</v>
      </c>
      <c r="H527" s="16">
        <v>323</v>
      </c>
      <c r="I527" s="17">
        <v>53.23</v>
      </c>
      <c r="J527" s="18">
        <v>9.5000000000000001E-2</v>
      </c>
      <c r="K527" s="17">
        <v>17194.32</v>
      </c>
      <c r="L527" s="17">
        <v>15560.86</v>
      </c>
      <c r="M527" s="17">
        <v>7.47</v>
      </c>
      <c r="N527" s="17">
        <v>2413.7800000000002</v>
      </c>
      <c r="O527" s="17">
        <v>13147.08</v>
      </c>
      <c r="P527" s="18">
        <v>0.84489999999999998</v>
      </c>
      <c r="Q527" s="17">
        <v>563.16</v>
      </c>
      <c r="R527" s="15" t="s">
        <v>40</v>
      </c>
    </row>
    <row r="528" spans="1:18" ht="14.25" customHeight="1" x14ac:dyDescent="0.3">
      <c r="A528" s="14">
        <v>45566</v>
      </c>
      <c r="B528" s="15">
        <v>2024</v>
      </c>
      <c r="C528" s="15" t="s">
        <v>47</v>
      </c>
      <c r="D528" s="15" t="s">
        <v>27</v>
      </c>
      <c r="E528" s="15" t="s">
        <v>25</v>
      </c>
      <c r="F528" s="15" t="s">
        <v>21</v>
      </c>
      <c r="G528" s="15" t="s">
        <v>37</v>
      </c>
      <c r="H528" s="16">
        <v>279</v>
      </c>
      <c r="I528" s="17">
        <v>53.76</v>
      </c>
      <c r="J528" s="18">
        <v>6.5000000000000002E-2</v>
      </c>
      <c r="K528" s="17">
        <v>14998.45</v>
      </c>
      <c r="L528" s="17">
        <v>14023.55</v>
      </c>
      <c r="M528" s="17">
        <v>7.47</v>
      </c>
      <c r="N528" s="17">
        <v>2084.9699999999998</v>
      </c>
      <c r="O528" s="17">
        <v>11938.59</v>
      </c>
      <c r="P528" s="18">
        <v>0.85129999999999995</v>
      </c>
      <c r="Q528" s="17">
        <v>479.2</v>
      </c>
      <c r="R528" s="15" t="s">
        <v>40</v>
      </c>
    </row>
    <row r="529" spans="1:18" ht="14.25" customHeight="1" x14ac:dyDescent="0.3">
      <c r="A529" s="14">
        <v>45566</v>
      </c>
      <c r="B529" s="15">
        <v>2024</v>
      </c>
      <c r="C529" s="15" t="s">
        <v>47</v>
      </c>
      <c r="D529" s="15" t="s">
        <v>30</v>
      </c>
      <c r="E529" s="15" t="s">
        <v>28</v>
      </c>
      <c r="F529" s="15" t="s">
        <v>32</v>
      </c>
      <c r="G529" s="15" t="s">
        <v>37</v>
      </c>
      <c r="H529" s="16">
        <v>135</v>
      </c>
      <c r="I529" s="17">
        <v>52.18</v>
      </c>
      <c r="J529" s="18">
        <v>0.05</v>
      </c>
      <c r="K529" s="17">
        <v>7043.74</v>
      </c>
      <c r="L529" s="17">
        <v>6691.55</v>
      </c>
      <c r="M529" s="17">
        <v>7.47</v>
      </c>
      <c r="N529" s="17">
        <v>1008.86</v>
      </c>
      <c r="O529" s="17">
        <v>5682.7</v>
      </c>
      <c r="P529" s="18">
        <v>0.84919999999999995</v>
      </c>
      <c r="Q529" s="17">
        <v>309.83999999999997</v>
      </c>
      <c r="R529" s="15" t="s">
        <v>40</v>
      </c>
    </row>
    <row r="530" spans="1:18" ht="14.25" customHeight="1" x14ac:dyDescent="0.3">
      <c r="A530" s="14">
        <v>45597</v>
      </c>
      <c r="B530" s="15">
        <v>2024</v>
      </c>
      <c r="C530" s="15" t="s">
        <v>48</v>
      </c>
      <c r="D530" s="15" t="s">
        <v>19</v>
      </c>
      <c r="E530" s="15" t="s">
        <v>28</v>
      </c>
      <c r="F530" s="15" t="s">
        <v>29</v>
      </c>
      <c r="G530" s="15" t="s">
        <v>22</v>
      </c>
      <c r="H530" s="16">
        <v>124</v>
      </c>
      <c r="I530" s="17">
        <v>502.69</v>
      </c>
      <c r="J530" s="18">
        <v>6.5000000000000002E-2</v>
      </c>
      <c r="K530" s="17">
        <v>62334.11</v>
      </c>
      <c r="L530" s="17">
        <v>58282.39</v>
      </c>
      <c r="M530" s="17">
        <v>386.31</v>
      </c>
      <c r="N530" s="17">
        <v>47901.99</v>
      </c>
      <c r="O530" s="17">
        <v>10380.39</v>
      </c>
      <c r="P530" s="18">
        <v>0.17810000000000001</v>
      </c>
      <c r="Q530" s="17">
        <v>1221.8599999999999</v>
      </c>
      <c r="R530" s="15" t="s">
        <v>40</v>
      </c>
    </row>
    <row r="531" spans="1:18" ht="14.25" customHeight="1" x14ac:dyDescent="0.3">
      <c r="A531" s="14">
        <v>45597</v>
      </c>
      <c r="B531" s="15">
        <v>2024</v>
      </c>
      <c r="C531" s="15" t="s">
        <v>48</v>
      </c>
      <c r="D531" s="15" t="s">
        <v>24</v>
      </c>
      <c r="E531" s="15" t="s">
        <v>31</v>
      </c>
      <c r="F531" s="15" t="s">
        <v>32</v>
      </c>
      <c r="G531" s="15" t="s">
        <v>22</v>
      </c>
      <c r="H531" s="16">
        <v>268</v>
      </c>
      <c r="I531" s="17">
        <v>507.75</v>
      </c>
      <c r="J531" s="18">
        <v>0.14499999999999999</v>
      </c>
      <c r="K531" s="17">
        <v>136077.16</v>
      </c>
      <c r="L531" s="17">
        <v>116345.98</v>
      </c>
      <c r="M531" s="17">
        <v>386.31</v>
      </c>
      <c r="N531" s="17">
        <v>103530.12</v>
      </c>
      <c r="O531" s="17">
        <v>12815.86</v>
      </c>
      <c r="P531" s="18">
        <v>0.11020000000000001</v>
      </c>
      <c r="Q531" s="17">
        <v>1172.69</v>
      </c>
      <c r="R531" s="15" t="s">
        <v>40</v>
      </c>
    </row>
    <row r="532" spans="1:18" ht="14.25" customHeight="1" x14ac:dyDescent="0.3">
      <c r="A532" s="14">
        <v>45597</v>
      </c>
      <c r="B532" s="15">
        <v>2024</v>
      </c>
      <c r="C532" s="15" t="s">
        <v>48</v>
      </c>
      <c r="D532" s="15" t="s">
        <v>27</v>
      </c>
      <c r="E532" s="15" t="s">
        <v>20</v>
      </c>
      <c r="F532" s="15" t="s">
        <v>21</v>
      </c>
      <c r="G532" s="15" t="s">
        <v>22</v>
      </c>
      <c r="H532" s="16">
        <v>270</v>
      </c>
      <c r="I532" s="17">
        <v>512.79999999999995</v>
      </c>
      <c r="J532" s="18">
        <v>0.11</v>
      </c>
      <c r="K532" s="17">
        <v>138455.69</v>
      </c>
      <c r="L532" s="17">
        <v>123225.56</v>
      </c>
      <c r="M532" s="17">
        <v>386.31</v>
      </c>
      <c r="N532" s="17">
        <v>104302.73</v>
      </c>
      <c r="O532" s="17">
        <v>18922.84</v>
      </c>
      <c r="P532" s="18">
        <v>0.15359999999999999</v>
      </c>
      <c r="Q532" s="17">
        <v>1849.51</v>
      </c>
      <c r="R532" s="15" t="s">
        <v>40</v>
      </c>
    </row>
    <row r="533" spans="1:18" ht="14.25" customHeight="1" x14ac:dyDescent="0.3">
      <c r="A533" s="14">
        <v>45597</v>
      </c>
      <c r="B533" s="15">
        <v>2024</v>
      </c>
      <c r="C533" s="15" t="s">
        <v>48</v>
      </c>
      <c r="D533" s="15" t="s">
        <v>30</v>
      </c>
      <c r="E533" s="15" t="s">
        <v>25</v>
      </c>
      <c r="F533" s="15" t="s">
        <v>26</v>
      </c>
      <c r="G533" s="15" t="s">
        <v>22</v>
      </c>
      <c r="H533" s="16">
        <v>131</v>
      </c>
      <c r="I533" s="17">
        <v>497.65</v>
      </c>
      <c r="J533" s="18">
        <v>0.08</v>
      </c>
      <c r="K533" s="17">
        <v>65191.65</v>
      </c>
      <c r="L533" s="17">
        <v>59976.31</v>
      </c>
      <c r="M533" s="17">
        <v>386.31</v>
      </c>
      <c r="N533" s="17">
        <v>50606.14</v>
      </c>
      <c r="O533" s="17">
        <v>9370.17</v>
      </c>
      <c r="P533" s="18">
        <v>0.15620000000000001</v>
      </c>
      <c r="Q533" s="17">
        <v>1286.06</v>
      </c>
      <c r="R533" s="15" t="s">
        <v>40</v>
      </c>
    </row>
    <row r="534" spans="1:18" ht="14.25" customHeight="1" x14ac:dyDescent="0.3">
      <c r="A534" s="14">
        <v>45597</v>
      </c>
      <c r="B534" s="15">
        <v>2024</v>
      </c>
      <c r="C534" s="15" t="s">
        <v>48</v>
      </c>
      <c r="D534" s="15" t="s">
        <v>19</v>
      </c>
      <c r="E534" s="15" t="s">
        <v>31</v>
      </c>
      <c r="F534" s="15" t="s">
        <v>32</v>
      </c>
      <c r="G534" s="15" t="s">
        <v>33</v>
      </c>
      <c r="H534" s="16">
        <v>152</v>
      </c>
      <c r="I534" s="17">
        <v>713.5</v>
      </c>
      <c r="J534" s="18">
        <v>0.14499999999999999</v>
      </c>
      <c r="K534" s="17">
        <v>108452.69</v>
      </c>
      <c r="L534" s="17">
        <v>92727.05</v>
      </c>
      <c r="M534" s="17">
        <v>573.23</v>
      </c>
      <c r="N534" s="17">
        <v>87131.68</v>
      </c>
      <c r="O534" s="17">
        <v>5595.37</v>
      </c>
      <c r="P534" s="18">
        <v>6.0299999999999999E-2</v>
      </c>
      <c r="Q534" s="17">
        <v>1067.0999999999999</v>
      </c>
      <c r="R534" s="15" t="s">
        <v>40</v>
      </c>
    </row>
    <row r="535" spans="1:18" ht="14.25" customHeight="1" x14ac:dyDescent="0.3">
      <c r="A535" s="14">
        <v>45597</v>
      </c>
      <c r="B535" s="15">
        <v>2024</v>
      </c>
      <c r="C535" s="15" t="s">
        <v>48</v>
      </c>
      <c r="D535" s="15" t="s">
        <v>24</v>
      </c>
      <c r="E535" s="15" t="s">
        <v>20</v>
      </c>
      <c r="F535" s="15" t="s">
        <v>21</v>
      </c>
      <c r="G535" s="15" t="s">
        <v>33</v>
      </c>
      <c r="H535" s="16">
        <v>162</v>
      </c>
      <c r="I535" s="17">
        <v>720.68</v>
      </c>
      <c r="J535" s="18">
        <v>0.11</v>
      </c>
      <c r="K535" s="17">
        <v>116749.42</v>
      </c>
      <c r="L535" s="17">
        <v>103906.98</v>
      </c>
      <c r="M535" s="17">
        <v>573.23</v>
      </c>
      <c r="N535" s="17">
        <v>92864.03</v>
      </c>
      <c r="O535" s="17">
        <v>11042.96</v>
      </c>
      <c r="P535" s="18">
        <v>0.10630000000000001</v>
      </c>
      <c r="Q535" s="17">
        <v>1853.61</v>
      </c>
      <c r="R535" s="15" t="s">
        <v>40</v>
      </c>
    </row>
    <row r="536" spans="1:18" ht="14.25" customHeight="1" x14ac:dyDescent="0.3">
      <c r="A536" s="14">
        <v>45597</v>
      </c>
      <c r="B536" s="15">
        <v>2024</v>
      </c>
      <c r="C536" s="15" t="s">
        <v>48</v>
      </c>
      <c r="D536" s="15" t="s">
        <v>27</v>
      </c>
      <c r="E536" s="15" t="s">
        <v>25</v>
      </c>
      <c r="F536" s="15" t="s">
        <v>26</v>
      </c>
      <c r="G536" s="15" t="s">
        <v>33</v>
      </c>
      <c r="H536" s="16">
        <v>139</v>
      </c>
      <c r="I536" s="17">
        <v>727.85</v>
      </c>
      <c r="J536" s="18">
        <v>0.08</v>
      </c>
      <c r="K536" s="17">
        <v>101170.64</v>
      </c>
      <c r="L536" s="17">
        <v>93076.99</v>
      </c>
      <c r="M536" s="17">
        <v>573.23</v>
      </c>
      <c r="N536" s="17">
        <v>79679.63</v>
      </c>
      <c r="O536" s="17">
        <v>13397.36</v>
      </c>
      <c r="P536" s="18">
        <v>0.1439</v>
      </c>
      <c r="Q536" s="17">
        <v>1686.97</v>
      </c>
      <c r="R536" s="15" t="s">
        <v>40</v>
      </c>
    </row>
    <row r="537" spans="1:18" ht="14.25" customHeight="1" x14ac:dyDescent="0.3">
      <c r="A537" s="14">
        <v>45597</v>
      </c>
      <c r="B537" s="15">
        <v>2024</v>
      </c>
      <c r="C537" s="15" t="s">
        <v>48</v>
      </c>
      <c r="D537" s="15" t="s">
        <v>30</v>
      </c>
      <c r="E537" s="15" t="s">
        <v>28</v>
      </c>
      <c r="F537" s="15" t="s">
        <v>29</v>
      </c>
      <c r="G537" s="15" t="s">
        <v>33</v>
      </c>
      <c r="H537" s="16">
        <v>65</v>
      </c>
      <c r="I537" s="17">
        <v>706.33</v>
      </c>
      <c r="J537" s="18">
        <v>6.5000000000000002E-2</v>
      </c>
      <c r="K537" s="17">
        <v>45911.69</v>
      </c>
      <c r="L537" s="17">
        <v>42927.42</v>
      </c>
      <c r="M537" s="17">
        <v>573.23</v>
      </c>
      <c r="N537" s="17">
        <v>37260.26</v>
      </c>
      <c r="O537" s="17">
        <v>5667.17</v>
      </c>
      <c r="P537" s="18">
        <v>0.13200000000000001</v>
      </c>
      <c r="Q537" s="17">
        <v>1079.75</v>
      </c>
      <c r="R537" s="15" t="s">
        <v>40</v>
      </c>
    </row>
    <row r="538" spans="1:18" ht="14.25" customHeight="1" x14ac:dyDescent="0.3">
      <c r="A538" s="14">
        <v>45597</v>
      </c>
      <c r="B538" s="15">
        <v>2024</v>
      </c>
      <c r="C538" s="15" t="s">
        <v>48</v>
      </c>
      <c r="D538" s="15" t="s">
        <v>19</v>
      </c>
      <c r="E538" s="15" t="s">
        <v>20</v>
      </c>
      <c r="F538" s="15" t="s">
        <v>21</v>
      </c>
      <c r="G538" s="15" t="s">
        <v>34</v>
      </c>
      <c r="H538" s="16">
        <v>299</v>
      </c>
      <c r="I538" s="17">
        <v>227.02</v>
      </c>
      <c r="J538" s="18">
        <v>0.11</v>
      </c>
      <c r="K538" s="17">
        <v>67879.039999999994</v>
      </c>
      <c r="L538" s="17">
        <v>60412.34</v>
      </c>
      <c r="M538" s="17">
        <v>157.85</v>
      </c>
      <c r="N538" s="17">
        <v>47196.33</v>
      </c>
      <c r="O538" s="17">
        <v>13216.02</v>
      </c>
      <c r="P538" s="18">
        <v>0.21879999999999999</v>
      </c>
      <c r="Q538" s="17">
        <v>1164.53</v>
      </c>
      <c r="R538" s="15" t="s">
        <v>40</v>
      </c>
    </row>
    <row r="539" spans="1:18" ht="14.25" customHeight="1" x14ac:dyDescent="0.3">
      <c r="A539" s="14">
        <v>45597</v>
      </c>
      <c r="B539" s="15">
        <v>2024</v>
      </c>
      <c r="C539" s="15" t="s">
        <v>48</v>
      </c>
      <c r="D539" s="15" t="s">
        <v>24</v>
      </c>
      <c r="E539" s="15" t="s">
        <v>25</v>
      </c>
      <c r="F539" s="15" t="s">
        <v>26</v>
      </c>
      <c r="G539" s="15" t="s">
        <v>34</v>
      </c>
      <c r="H539" s="16">
        <v>272</v>
      </c>
      <c r="I539" s="17">
        <v>229.3</v>
      </c>
      <c r="J539" s="18">
        <v>0.08</v>
      </c>
      <c r="K539" s="17">
        <v>62370.1</v>
      </c>
      <c r="L539" s="17">
        <v>57380.49</v>
      </c>
      <c r="M539" s="17">
        <v>157.85</v>
      </c>
      <c r="N539" s="17">
        <v>42934.45</v>
      </c>
      <c r="O539" s="17">
        <v>14446.04</v>
      </c>
      <c r="P539" s="18">
        <v>0.25180000000000002</v>
      </c>
      <c r="Q539" s="17">
        <v>1132.23</v>
      </c>
      <c r="R539" s="15" t="s">
        <v>40</v>
      </c>
    </row>
    <row r="540" spans="1:18" ht="14.25" customHeight="1" x14ac:dyDescent="0.3">
      <c r="A540" s="14">
        <v>45597</v>
      </c>
      <c r="B540" s="15">
        <v>2024</v>
      </c>
      <c r="C540" s="15" t="s">
        <v>48</v>
      </c>
      <c r="D540" s="15" t="s">
        <v>27</v>
      </c>
      <c r="E540" s="15" t="s">
        <v>31</v>
      </c>
      <c r="F540" s="15" t="s">
        <v>32</v>
      </c>
      <c r="G540" s="15" t="s">
        <v>34</v>
      </c>
      <c r="H540" s="16">
        <v>396</v>
      </c>
      <c r="I540" s="17">
        <v>231.58</v>
      </c>
      <c r="J540" s="18">
        <v>0.14499999999999999</v>
      </c>
      <c r="K540" s="17">
        <v>91707.07</v>
      </c>
      <c r="L540" s="17">
        <v>78409.539999999994</v>
      </c>
      <c r="M540" s="17">
        <v>157.85</v>
      </c>
      <c r="N540" s="17">
        <v>62507.51</v>
      </c>
      <c r="O540" s="17">
        <v>15902.03</v>
      </c>
      <c r="P540" s="18">
        <v>0.20280000000000001</v>
      </c>
      <c r="Q540" s="17">
        <v>874.88</v>
      </c>
      <c r="R540" s="15" t="s">
        <v>40</v>
      </c>
    </row>
    <row r="541" spans="1:18" ht="14.25" customHeight="1" x14ac:dyDescent="0.3">
      <c r="A541" s="14">
        <v>45597</v>
      </c>
      <c r="B541" s="15">
        <v>2024</v>
      </c>
      <c r="C541" s="15" t="s">
        <v>48</v>
      </c>
      <c r="D541" s="15" t="s">
        <v>30</v>
      </c>
      <c r="E541" s="15" t="s">
        <v>20</v>
      </c>
      <c r="F541" s="15" t="s">
        <v>26</v>
      </c>
      <c r="G541" s="15" t="s">
        <v>34</v>
      </c>
      <c r="H541" s="16">
        <v>237</v>
      </c>
      <c r="I541" s="17">
        <v>224.74</v>
      </c>
      <c r="J541" s="18">
        <v>0.11</v>
      </c>
      <c r="K541" s="17">
        <v>53263.040000000001</v>
      </c>
      <c r="L541" s="17">
        <v>47404.1</v>
      </c>
      <c r="M541" s="17">
        <v>157.85</v>
      </c>
      <c r="N541" s="17">
        <v>37409.800000000003</v>
      </c>
      <c r="O541" s="17">
        <v>9994.2999999999993</v>
      </c>
      <c r="P541" s="18">
        <v>0.21079999999999999</v>
      </c>
      <c r="Q541" s="17">
        <v>1034.6099999999999</v>
      </c>
      <c r="R541" s="15" t="s">
        <v>40</v>
      </c>
    </row>
    <row r="542" spans="1:18" ht="14.25" customHeight="1" x14ac:dyDescent="0.3">
      <c r="A542" s="14">
        <v>45597</v>
      </c>
      <c r="B542" s="15">
        <v>2024</v>
      </c>
      <c r="C542" s="15" t="s">
        <v>48</v>
      </c>
      <c r="D542" s="15" t="s">
        <v>19</v>
      </c>
      <c r="E542" s="15" t="s">
        <v>25</v>
      </c>
      <c r="F542" s="15" t="s">
        <v>26</v>
      </c>
      <c r="G542" s="15" t="s">
        <v>35</v>
      </c>
      <c r="H542" s="16">
        <v>932</v>
      </c>
      <c r="I542" s="17">
        <v>11.35</v>
      </c>
      <c r="J542" s="18">
        <v>0.08</v>
      </c>
      <c r="K542" s="17">
        <v>10580.62</v>
      </c>
      <c r="L542" s="17">
        <v>9734.17</v>
      </c>
      <c r="M542" s="17">
        <v>5.82</v>
      </c>
      <c r="N542" s="17">
        <v>5423.68</v>
      </c>
      <c r="O542" s="17">
        <v>4310.49</v>
      </c>
      <c r="P542" s="18">
        <v>0.44280000000000003</v>
      </c>
      <c r="Q542" s="17">
        <v>472.47</v>
      </c>
      <c r="R542" s="15" t="s">
        <v>40</v>
      </c>
    </row>
    <row r="543" spans="1:18" ht="14.25" customHeight="1" x14ac:dyDescent="0.3">
      <c r="A543" s="14">
        <v>45597</v>
      </c>
      <c r="B543" s="15">
        <v>2024</v>
      </c>
      <c r="C543" s="15" t="s">
        <v>48</v>
      </c>
      <c r="D543" s="15" t="s">
        <v>24</v>
      </c>
      <c r="E543" s="15" t="s">
        <v>31</v>
      </c>
      <c r="F543" s="15" t="s">
        <v>32</v>
      </c>
      <c r="G543" s="15" t="s">
        <v>35</v>
      </c>
      <c r="H543" s="16">
        <v>1359</v>
      </c>
      <c r="I543" s="17">
        <v>11.46</v>
      </c>
      <c r="J543" s="18">
        <v>0.14499999999999999</v>
      </c>
      <c r="K543" s="17">
        <v>15579.44</v>
      </c>
      <c r="L543" s="17">
        <v>13320.42</v>
      </c>
      <c r="M543" s="17">
        <v>5.82</v>
      </c>
      <c r="N543" s="17">
        <v>7908.56</v>
      </c>
      <c r="O543" s="17">
        <v>5411.86</v>
      </c>
      <c r="P543" s="18">
        <v>0.40629999999999999</v>
      </c>
      <c r="Q543" s="17">
        <v>389.74</v>
      </c>
      <c r="R543" s="15" t="s">
        <v>40</v>
      </c>
    </row>
    <row r="544" spans="1:18" ht="14.25" customHeight="1" x14ac:dyDescent="0.3">
      <c r="A544" s="14">
        <v>45597</v>
      </c>
      <c r="B544" s="15">
        <v>2024</v>
      </c>
      <c r="C544" s="15" t="s">
        <v>48</v>
      </c>
      <c r="D544" s="15" t="s">
        <v>27</v>
      </c>
      <c r="E544" s="15" t="s">
        <v>20</v>
      </c>
      <c r="F544" s="15" t="s">
        <v>26</v>
      </c>
      <c r="G544" s="15" t="s">
        <v>35</v>
      </c>
      <c r="H544" s="16">
        <v>1347</v>
      </c>
      <c r="I544" s="17">
        <v>11.58</v>
      </c>
      <c r="J544" s="18">
        <v>0.11</v>
      </c>
      <c r="K544" s="17">
        <v>15602.5</v>
      </c>
      <c r="L544" s="17">
        <v>13886.23</v>
      </c>
      <c r="M544" s="17">
        <v>5.82</v>
      </c>
      <c r="N544" s="17">
        <v>7838.73</v>
      </c>
      <c r="O544" s="17">
        <v>6047.49</v>
      </c>
      <c r="P544" s="18">
        <v>0.4355</v>
      </c>
      <c r="Q544" s="17">
        <v>617.6</v>
      </c>
      <c r="R544" s="15" t="s">
        <v>40</v>
      </c>
    </row>
    <row r="545" spans="1:18" ht="14.25" customHeight="1" x14ac:dyDescent="0.3">
      <c r="A545" s="14">
        <v>45597</v>
      </c>
      <c r="B545" s="15">
        <v>2024</v>
      </c>
      <c r="C545" s="15" t="s">
        <v>48</v>
      </c>
      <c r="D545" s="15" t="s">
        <v>30</v>
      </c>
      <c r="E545" s="15" t="s">
        <v>25</v>
      </c>
      <c r="F545" s="15" t="s">
        <v>21</v>
      </c>
      <c r="G545" s="15" t="s">
        <v>35</v>
      </c>
      <c r="H545" s="16">
        <v>725</v>
      </c>
      <c r="I545" s="17">
        <v>11.23</v>
      </c>
      <c r="J545" s="18">
        <v>0.08</v>
      </c>
      <c r="K545" s="17">
        <v>8144.18</v>
      </c>
      <c r="L545" s="17">
        <v>7492.64</v>
      </c>
      <c r="M545" s="17">
        <v>5.82</v>
      </c>
      <c r="N545" s="17">
        <v>4219.07</v>
      </c>
      <c r="O545" s="17">
        <v>3273.58</v>
      </c>
      <c r="P545" s="18">
        <v>0.43690000000000001</v>
      </c>
      <c r="Q545" s="17">
        <v>430.62</v>
      </c>
      <c r="R545" s="15" t="s">
        <v>40</v>
      </c>
    </row>
    <row r="546" spans="1:18" ht="14.25" customHeight="1" x14ac:dyDescent="0.3">
      <c r="A546" s="14">
        <v>45597</v>
      </c>
      <c r="B546" s="15">
        <v>2024</v>
      </c>
      <c r="C546" s="15" t="s">
        <v>48</v>
      </c>
      <c r="D546" s="15" t="s">
        <v>19</v>
      </c>
      <c r="E546" s="15" t="s">
        <v>31</v>
      </c>
      <c r="F546" s="15" t="s">
        <v>32</v>
      </c>
      <c r="G546" s="15" t="s">
        <v>36</v>
      </c>
      <c r="H546" s="16">
        <v>396</v>
      </c>
      <c r="I546" s="17">
        <v>68.92</v>
      </c>
      <c r="J546" s="18">
        <v>0.13</v>
      </c>
      <c r="K546" s="17">
        <v>27291.75</v>
      </c>
      <c r="L546" s="17">
        <v>23743.82</v>
      </c>
      <c r="M546" s="17">
        <v>14.95</v>
      </c>
      <c r="N546" s="17">
        <v>5921.76</v>
      </c>
      <c r="O546" s="17">
        <v>17822.060000000001</v>
      </c>
      <c r="P546" s="18">
        <v>0.75060000000000004</v>
      </c>
      <c r="Q546" s="17">
        <v>508.67</v>
      </c>
      <c r="R546" s="15" t="s">
        <v>40</v>
      </c>
    </row>
    <row r="547" spans="1:18" ht="14.25" customHeight="1" x14ac:dyDescent="0.3">
      <c r="A547" s="14">
        <v>45597</v>
      </c>
      <c r="B547" s="15">
        <v>2024</v>
      </c>
      <c r="C547" s="15" t="s">
        <v>48</v>
      </c>
      <c r="D547" s="15" t="s">
        <v>24</v>
      </c>
      <c r="E547" s="15" t="s">
        <v>20</v>
      </c>
      <c r="F547" s="15" t="s">
        <v>26</v>
      </c>
      <c r="G547" s="15" t="s">
        <v>36</v>
      </c>
      <c r="H547" s="16">
        <v>418</v>
      </c>
      <c r="I547" s="17">
        <v>69.61</v>
      </c>
      <c r="J547" s="18">
        <v>9.5000000000000001E-2</v>
      </c>
      <c r="K547" s="17">
        <v>29097.06</v>
      </c>
      <c r="L547" s="17">
        <v>26332.84</v>
      </c>
      <c r="M547" s="17">
        <v>14.95</v>
      </c>
      <c r="N547" s="17">
        <v>6250.75</v>
      </c>
      <c r="O547" s="17">
        <v>20082.09</v>
      </c>
      <c r="P547" s="18">
        <v>0.76259999999999994</v>
      </c>
      <c r="Q547" s="17">
        <v>858.25</v>
      </c>
      <c r="R547" s="15" t="s">
        <v>40</v>
      </c>
    </row>
    <row r="548" spans="1:18" ht="14.25" customHeight="1" x14ac:dyDescent="0.3">
      <c r="A548" s="14">
        <v>45597</v>
      </c>
      <c r="B548" s="15">
        <v>2024</v>
      </c>
      <c r="C548" s="15" t="s">
        <v>48</v>
      </c>
      <c r="D548" s="15" t="s">
        <v>27</v>
      </c>
      <c r="E548" s="15" t="s">
        <v>28</v>
      </c>
      <c r="F548" s="15" t="s">
        <v>29</v>
      </c>
      <c r="G548" s="15" t="s">
        <v>36</v>
      </c>
      <c r="H548" s="16">
        <v>258</v>
      </c>
      <c r="I548" s="17">
        <v>70.3</v>
      </c>
      <c r="J548" s="18">
        <v>0.05</v>
      </c>
      <c r="K548" s="17">
        <v>18137.88</v>
      </c>
      <c r="L548" s="17">
        <v>17230.98</v>
      </c>
      <c r="M548" s="17">
        <v>14.95</v>
      </c>
      <c r="N548" s="17">
        <v>3858.12</v>
      </c>
      <c r="O548" s="17">
        <v>13372.86</v>
      </c>
      <c r="P548" s="18">
        <v>0.77610000000000001</v>
      </c>
      <c r="Q548" s="17">
        <v>642.52</v>
      </c>
      <c r="R548" s="15" t="s">
        <v>40</v>
      </c>
    </row>
    <row r="549" spans="1:18" ht="14.25" customHeight="1" x14ac:dyDescent="0.3">
      <c r="A549" s="14">
        <v>45597</v>
      </c>
      <c r="B549" s="15">
        <v>2024</v>
      </c>
      <c r="C549" s="15" t="s">
        <v>48</v>
      </c>
      <c r="D549" s="15" t="s">
        <v>30</v>
      </c>
      <c r="E549" s="15" t="s">
        <v>31</v>
      </c>
      <c r="F549" s="15" t="s">
        <v>32</v>
      </c>
      <c r="G549" s="15" t="s">
        <v>36</v>
      </c>
      <c r="H549" s="16">
        <v>299</v>
      </c>
      <c r="I549" s="17">
        <v>68.23</v>
      </c>
      <c r="J549" s="18">
        <v>0.13</v>
      </c>
      <c r="K549" s="17">
        <v>20399.84</v>
      </c>
      <c r="L549" s="17">
        <v>17747.87</v>
      </c>
      <c r="M549" s="17">
        <v>14.95</v>
      </c>
      <c r="N549" s="17">
        <v>4471.2299999999996</v>
      </c>
      <c r="O549" s="17">
        <v>13276.64</v>
      </c>
      <c r="P549" s="18">
        <v>0.74809999999999999</v>
      </c>
      <c r="Q549" s="17">
        <v>469.22</v>
      </c>
      <c r="R549" s="15" t="s">
        <v>40</v>
      </c>
    </row>
    <row r="550" spans="1:18" ht="14.25" customHeight="1" x14ac:dyDescent="0.3">
      <c r="A550" s="14">
        <v>45597</v>
      </c>
      <c r="B550" s="15">
        <v>2024</v>
      </c>
      <c r="C550" s="15" t="s">
        <v>48</v>
      </c>
      <c r="D550" s="15" t="s">
        <v>19</v>
      </c>
      <c r="E550" s="15" t="s">
        <v>20</v>
      </c>
      <c r="F550" s="15" t="s">
        <v>26</v>
      </c>
      <c r="G550" s="15" t="s">
        <v>37</v>
      </c>
      <c r="H550" s="16">
        <v>312</v>
      </c>
      <c r="I550" s="17">
        <v>52.7</v>
      </c>
      <c r="J550" s="18">
        <v>9.5000000000000001E-2</v>
      </c>
      <c r="K550" s="17">
        <v>16442.57</v>
      </c>
      <c r="L550" s="17">
        <v>14880.52</v>
      </c>
      <c r="M550" s="17">
        <v>7.47</v>
      </c>
      <c r="N550" s="17">
        <v>2331.58</v>
      </c>
      <c r="O550" s="17">
        <v>12548.95</v>
      </c>
      <c r="P550" s="18">
        <v>0.84330000000000005</v>
      </c>
      <c r="Q550" s="17">
        <v>508.86</v>
      </c>
      <c r="R550" s="15" t="s">
        <v>40</v>
      </c>
    </row>
    <row r="551" spans="1:18" ht="14.25" customHeight="1" x14ac:dyDescent="0.3">
      <c r="A551" s="14">
        <v>45597</v>
      </c>
      <c r="B551" s="15">
        <v>2024</v>
      </c>
      <c r="C551" s="15" t="s">
        <v>48</v>
      </c>
      <c r="D551" s="15" t="s">
        <v>24</v>
      </c>
      <c r="E551" s="15" t="s">
        <v>25</v>
      </c>
      <c r="F551" s="15" t="s">
        <v>21</v>
      </c>
      <c r="G551" s="15" t="s">
        <v>37</v>
      </c>
      <c r="H551" s="16">
        <v>273</v>
      </c>
      <c r="I551" s="17">
        <v>53.23</v>
      </c>
      <c r="J551" s="18">
        <v>6.5000000000000002E-2</v>
      </c>
      <c r="K551" s="17">
        <v>14532.66</v>
      </c>
      <c r="L551" s="17">
        <v>13588.04</v>
      </c>
      <c r="M551" s="17">
        <v>7.47</v>
      </c>
      <c r="N551" s="17">
        <v>2040.13</v>
      </c>
      <c r="O551" s="17">
        <v>11547.91</v>
      </c>
      <c r="P551" s="18">
        <v>0.84989999999999999</v>
      </c>
      <c r="Q551" s="17">
        <v>465.93</v>
      </c>
      <c r="R551" s="15" t="s">
        <v>40</v>
      </c>
    </row>
    <row r="552" spans="1:18" ht="14.25" customHeight="1" x14ac:dyDescent="0.3">
      <c r="A552" s="14">
        <v>45597</v>
      </c>
      <c r="B552" s="15">
        <v>2024</v>
      </c>
      <c r="C552" s="15" t="s">
        <v>48</v>
      </c>
      <c r="D552" s="15" t="s">
        <v>27</v>
      </c>
      <c r="E552" s="15" t="s">
        <v>28</v>
      </c>
      <c r="F552" s="15" t="s">
        <v>32</v>
      </c>
      <c r="G552" s="15" t="s">
        <v>37</v>
      </c>
      <c r="H552" s="16">
        <v>201</v>
      </c>
      <c r="I552" s="17">
        <v>53.76</v>
      </c>
      <c r="J552" s="18">
        <v>0.05</v>
      </c>
      <c r="K552" s="17">
        <v>10805.34</v>
      </c>
      <c r="L552" s="17">
        <v>10265.07</v>
      </c>
      <c r="M552" s="17">
        <v>7.47</v>
      </c>
      <c r="N552" s="17">
        <v>1502.07</v>
      </c>
      <c r="O552" s="17">
        <v>8763</v>
      </c>
      <c r="P552" s="18">
        <v>0.85370000000000001</v>
      </c>
      <c r="Q552" s="17">
        <v>396.34</v>
      </c>
      <c r="R552" s="15" t="s">
        <v>40</v>
      </c>
    </row>
    <row r="553" spans="1:18" ht="14.25" customHeight="1" x14ac:dyDescent="0.3">
      <c r="A553" s="14">
        <v>45597</v>
      </c>
      <c r="B553" s="15">
        <v>2024</v>
      </c>
      <c r="C553" s="15" t="s">
        <v>48</v>
      </c>
      <c r="D553" s="15" t="s">
        <v>30</v>
      </c>
      <c r="E553" s="15" t="s">
        <v>20</v>
      </c>
      <c r="F553" s="15" t="s">
        <v>21</v>
      </c>
      <c r="G553" s="15" t="s">
        <v>37</v>
      </c>
      <c r="H553" s="16">
        <v>231</v>
      </c>
      <c r="I553" s="17">
        <v>52.18</v>
      </c>
      <c r="J553" s="18">
        <v>9.5000000000000001E-2</v>
      </c>
      <c r="K553" s="17">
        <v>12052.62</v>
      </c>
      <c r="L553" s="17">
        <v>10907.62</v>
      </c>
      <c r="M553" s="17">
        <v>7.47</v>
      </c>
      <c r="N553" s="17">
        <v>1726.26</v>
      </c>
      <c r="O553" s="17">
        <v>9181.36</v>
      </c>
      <c r="P553" s="18">
        <v>0.8417</v>
      </c>
      <c r="Q553" s="17">
        <v>451.68</v>
      </c>
      <c r="R553" s="15" t="s">
        <v>40</v>
      </c>
    </row>
    <row r="554" spans="1:18" ht="14.25" customHeight="1" x14ac:dyDescent="0.3">
      <c r="A554" s="14">
        <v>45627</v>
      </c>
      <c r="B554" s="15">
        <v>2024</v>
      </c>
      <c r="C554" s="15" t="s">
        <v>49</v>
      </c>
      <c r="D554" s="15" t="s">
        <v>19</v>
      </c>
      <c r="E554" s="15" t="s">
        <v>31</v>
      </c>
      <c r="F554" s="15" t="s">
        <v>32</v>
      </c>
      <c r="G554" s="15" t="s">
        <v>22</v>
      </c>
      <c r="H554" s="16">
        <v>238</v>
      </c>
      <c r="I554" s="17">
        <v>502.69</v>
      </c>
      <c r="J554" s="18">
        <v>0.14499999999999999</v>
      </c>
      <c r="K554" s="17">
        <v>119641.27</v>
      </c>
      <c r="L554" s="17">
        <v>102293.29</v>
      </c>
      <c r="M554" s="17">
        <v>386.31</v>
      </c>
      <c r="N554" s="17">
        <v>91940.92</v>
      </c>
      <c r="O554" s="17">
        <v>10352.36</v>
      </c>
      <c r="P554" s="18">
        <v>0.1012</v>
      </c>
      <c r="Q554" s="17">
        <v>1118.67</v>
      </c>
      <c r="R554" s="15" t="s">
        <v>40</v>
      </c>
    </row>
    <row r="555" spans="1:18" ht="14.25" customHeight="1" x14ac:dyDescent="0.3">
      <c r="A555" s="14">
        <v>45627</v>
      </c>
      <c r="B555" s="15">
        <v>2024</v>
      </c>
      <c r="C555" s="15" t="s">
        <v>49</v>
      </c>
      <c r="D555" s="15" t="s">
        <v>24</v>
      </c>
      <c r="E555" s="15" t="s">
        <v>20</v>
      </c>
      <c r="F555" s="15" t="s">
        <v>21</v>
      </c>
      <c r="G555" s="15" t="s">
        <v>22</v>
      </c>
      <c r="H555" s="16">
        <v>217</v>
      </c>
      <c r="I555" s="17">
        <v>507.75</v>
      </c>
      <c r="J555" s="18">
        <v>0.11</v>
      </c>
      <c r="K555" s="17">
        <v>110181.88</v>
      </c>
      <c r="L555" s="17">
        <v>98061.87</v>
      </c>
      <c r="M555" s="17">
        <v>386.31</v>
      </c>
      <c r="N555" s="17">
        <v>83828.490000000005</v>
      </c>
      <c r="O555" s="17">
        <v>14233.39</v>
      </c>
      <c r="P555" s="18">
        <v>0.14510000000000001</v>
      </c>
      <c r="Q555" s="17">
        <v>1915.66</v>
      </c>
      <c r="R555" s="15" t="s">
        <v>40</v>
      </c>
    </row>
    <row r="556" spans="1:18" ht="14.25" customHeight="1" x14ac:dyDescent="0.3">
      <c r="A556" s="14">
        <v>45627</v>
      </c>
      <c r="B556" s="15">
        <v>2024</v>
      </c>
      <c r="C556" s="15" t="s">
        <v>49</v>
      </c>
      <c r="D556" s="15" t="s">
        <v>27</v>
      </c>
      <c r="E556" s="15" t="s">
        <v>25</v>
      </c>
      <c r="F556" s="15" t="s">
        <v>26</v>
      </c>
      <c r="G556" s="15" t="s">
        <v>22</v>
      </c>
      <c r="H556" s="16">
        <v>191</v>
      </c>
      <c r="I556" s="17">
        <v>512.79999999999995</v>
      </c>
      <c r="J556" s="18">
        <v>0.08</v>
      </c>
      <c r="K556" s="17">
        <v>97944.58</v>
      </c>
      <c r="L556" s="17">
        <v>90109.01</v>
      </c>
      <c r="M556" s="17">
        <v>386.31</v>
      </c>
      <c r="N556" s="17">
        <v>73784.52</v>
      </c>
      <c r="O556" s="17">
        <v>16324.49</v>
      </c>
      <c r="P556" s="18">
        <v>0.1812</v>
      </c>
      <c r="Q556" s="17">
        <v>1603.49</v>
      </c>
      <c r="R556" s="15" t="s">
        <v>40</v>
      </c>
    </row>
    <row r="557" spans="1:18" ht="14.25" customHeight="1" x14ac:dyDescent="0.3">
      <c r="A557" s="14">
        <v>45627</v>
      </c>
      <c r="B557" s="15">
        <v>2024</v>
      </c>
      <c r="C557" s="15" t="s">
        <v>49</v>
      </c>
      <c r="D557" s="15" t="s">
        <v>30</v>
      </c>
      <c r="E557" s="15" t="s">
        <v>28</v>
      </c>
      <c r="F557" s="15" t="s">
        <v>29</v>
      </c>
      <c r="G557" s="15" t="s">
        <v>22</v>
      </c>
      <c r="H557" s="16">
        <v>95</v>
      </c>
      <c r="I557" s="17">
        <v>497.65</v>
      </c>
      <c r="J557" s="18">
        <v>6.5000000000000002E-2</v>
      </c>
      <c r="K557" s="17">
        <v>47276.38</v>
      </c>
      <c r="L557" s="17">
        <v>44203.42</v>
      </c>
      <c r="M557" s="17">
        <v>386.31</v>
      </c>
      <c r="N557" s="17">
        <v>36699.11</v>
      </c>
      <c r="O557" s="17">
        <v>7504.32</v>
      </c>
      <c r="P557" s="18">
        <v>0.16980000000000001</v>
      </c>
      <c r="Q557" s="17">
        <v>1058.8599999999999</v>
      </c>
      <c r="R557" s="15" t="s">
        <v>40</v>
      </c>
    </row>
    <row r="558" spans="1:18" ht="14.25" customHeight="1" x14ac:dyDescent="0.3">
      <c r="A558" s="14">
        <v>45627</v>
      </c>
      <c r="B558" s="15">
        <v>2024</v>
      </c>
      <c r="C558" s="15" t="s">
        <v>49</v>
      </c>
      <c r="D558" s="15" t="s">
        <v>19</v>
      </c>
      <c r="E558" s="15" t="s">
        <v>20</v>
      </c>
      <c r="F558" s="15" t="s">
        <v>21</v>
      </c>
      <c r="G558" s="15" t="s">
        <v>33</v>
      </c>
      <c r="H558" s="16">
        <v>132</v>
      </c>
      <c r="I558" s="17">
        <v>713.5</v>
      </c>
      <c r="J558" s="18">
        <v>0.11</v>
      </c>
      <c r="K558" s="17">
        <v>94182.6</v>
      </c>
      <c r="L558" s="17">
        <v>83822.52</v>
      </c>
      <c r="M558" s="17">
        <v>573.23</v>
      </c>
      <c r="N558" s="17">
        <v>75666.990000000005</v>
      </c>
      <c r="O558" s="17">
        <v>8155.53</v>
      </c>
      <c r="P558" s="18">
        <v>9.7299999999999998E-2</v>
      </c>
      <c r="Q558" s="17">
        <v>1671.97</v>
      </c>
      <c r="R558" s="15" t="s">
        <v>40</v>
      </c>
    </row>
    <row r="559" spans="1:18" ht="14.25" customHeight="1" x14ac:dyDescent="0.3">
      <c r="A559" s="14">
        <v>45627</v>
      </c>
      <c r="B559" s="15">
        <v>2024</v>
      </c>
      <c r="C559" s="15" t="s">
        <v>49</v>
      </c>
      <c r="D559" s="15" t="s">
        <v>24</v>
      </c>
      <c r="E559" s="15" t="s">
        <v>25</v>
      </c>
      <c r="F559" s="15" t="s">
        <v>26</v>
      </c>
      <c r="G559" s="15" t="s">
        <v>33</v>
      </c>
      <c r="H559" s="16">
        <v>111</v>
      </c>
      <c r="I559" s="17">
        <v>720.68</v>
      </c>
      <c r="J559" s="18">
        <v>0.08</v>
      </c>
      <c r="K559" s="17">
        <v>79994.97</v>
      </c>
      <c r="L559" s="17">
        <v>73595.38</v>
      </c>
      <c r="M559" s="17">
        <v>573.23</v>
      </c>
      <c r="N559" s="17">
        <v>63629.06</v>
      </c>
      <c r="O559" s="17">
        <v>9966.32</v>
      </c>
      <c r="P559" s="18">
        <v>0.13539999999999999</v>
      </c>
      <c r="Q559" s="17">
        <v>1608.03</v>
      </c>
      <c r="R559" s="15" t="s">
        <v>40</v>
      </c>
    </row>
    <row r="560" spans="1:18" ht="14.25" customHeight="1" x14ac:dyDescent="0.3">
      <c r="A560" s="14">
        <v>45627</v>
      </c>
      <c r="B560" s="15">
        <v>2024</v>
      </c>
      <c r="C560" s="15" t="s">
        <v>49</v>
      </c>
      <c r="D560" s="15" t="s">
        <v>27</v>
      </c>
      <c r="E560" s="15" t="s">
        <v>28</v>
      </c>
      <c r="F560" s="15" t="s">
        <v>29</v>
      </c>
      <c r="G560" s="15" t="s">
        <v>33</v>
      </c>
      <c r="H560" s="16">
        <v>94</v>
      </c>
      <c r="I560" s="17">
        <v>727.85</v>
      </c>
      <c r="J560" s="18">
        <v>6.5000000000000002E-2</v>
      </c>
      <c r="K560" s="17">
        <v>68417.56</v>
      </c>
      <c r="L560" s="17">
        <v>63970.41</v>
      </c>
      <c r="M560" s="17">
        <v>573.23</v>
      </c>
      <c r="N560" s="17">
        <v>53884.07</v>
      </c>
      <c r="O560" s="17">
        <v>10086.35</v>
      </c>
      <c r="P560" s="18">
        <v>0.15770000000000001</v>
      </c>
      <c r="Q560" s="17">
        <v>1408.32</v>
      </c>
      <c r="R560" s="15" t="s">
        <v>40</v>
      </c>
    </row>
    <row r="561" spans="1:18" ht="14.25" customHeight="1" x14ac:dyDescent="0.3">
      <c r="A561" s="14">
        <v>45627</v>
      </c>
      <c r="B561" s="15">
        <v>2024</v>
      </c>
      <c r="C561" s="15" t="s">
        <v>49</v>
      </c>
      <c r="D561" s="15" t="s">
        <v>30</v>
      </c>
      <c r="E561" s="15" t="s">
        <v>31</v>
      </c>
      <c r="F561" s="15" t="s">
        <v>32</v>
      </c>
      <c r="G561" s="15" t="s">
        <v>33</v>
      </c>
      <c r="H561" s="16">
        <v>122</v>
      </c>
      <c r="I561" s="17">
        <v>706.33</v>
      </c>
      <c r="J561" s="18">
        <v>0.14499999999999999</v>
      </c>
      <c r="K561" s="17">
        <v>86172.71</v>
      </c>
      <c r="L561" s="17">
        <v>73677.67</v>
      </c>
      <c r="M561" s="17">
        <v>573.23</v>
      </c>
      <c r="N561" s="17">
        <v>69934.64</v>
      </c>
      <c r="O561" s="17">
        <v>3743.03</v>
      </c>
      <c r="P561" s="18">
        <v>5.0799999999999998E-2</v>
      </c>
      <c r="Q561" s="17">
        <v>979.77</v>
      </c>
      <c r="R561" s="15" t="s">
        <v>40</v>
      </c>
    </row>
    <row r="562" spans="1:18" ht="14.25" customHeight="1" x14ac:dyDescent="0.3">
      <c r="A562" s="14">
        <v>45627</v>
      </c>
      <c r="B562" s="15">
        <v>2024</v>
      </c>
      <c r="C562" s="15" t="s">
        <v>49</v>
      </c>
      <c r="D562" s="15" t="s">
        <v>19</v>
      </c>
      <c r="E562" s="15" t="s">
        <v>25</v>
      </c>
      <c r="F562" s="15" t="s">
        <v>26</v>
      </c>
      <c r="G562" s="15" t="s">
        <v>34</v>
      </c>
      <c r="H562" s="16">
        <v>225</v>
      </c>
      <c r="I562" s="17">
        <v>227.02</v>
      </c>
      <c r="J562" s="18">
        <v>0.08</v>
      </c>
      <c r="K562" s="17">
        <v>51079.55</v>
      </c>
      <c r="L562" s="17">
        <v>46993.18</v>
      </c>
      <c r="M562" s="17">
        <v>157.85</v>
      </c>
      <c r="N562" s="17">
        <v>35515.629999999997</v>
      </c>
      <c r="O562" s="17">
        <v>11477.55</v>
      </c>
      <c r="P562" s="18">
        <v>0.2442</v>
      </c>
      <c r="Q562" s="17">
        <v>1058.3</v>
      </c>
      <c r="R562" s="15" t="s">
        <v>40</v>
      </c>
    </row>
    <row r="563" spans="1:18" ht="14.25" customHeight="1" x14ac:dyDescent="0.3">
      <c r="A563" s="14">
        <v>45627</v>
      </c>
      <c r="B563" s="15">
        <v>2024</v>
      </c>
      <c r="C563" s="15" t="s">
        <v>49</v>
      </c>
      <c r="D563" s="15" t="s">
        <v>24</v>
      </c>
      <c r="E563" s="15" t="s">
        <v>31</v>
      </c>
      <c r="F563" s="15" t="s">
        <v>32</v>
      </c>
      <c r="G563" s="15" t="s">
        <v>34</v>
      </c>
      <c r="H563" s="16">
        <v>360</v>
      </c>
      <c r="I563" s="17">
        <v>229.3</v>
      </c>
      <c r="J563" s="18">
        <v>0.14499999999999999</v>
      </c>
      <c r="K563" s="17">
        <v>82548.67</v>
      </c>
      <c r="L563" s="17">
        <v>70579.11</v>
      </c>
      <c r="M563" s="17">
        <v>157.85</v>
      </c>
      <c r="N563" s="17">
        <v>56825.01</v>
      </c>
      <c r="O563" s="17">
        <v>13754.1</v>
      </c>
      <c r="P563" s="18">
        <v>0.19489999999999999</v>
      </c>
      <c r="Q563" s="17">
        <v>833.37</v>
      </c>
      <c r="R563" s="15" t="s">
        <v>40</v>
      </c>
    </row>
    <row r="564" spans="1:18" ht="14.25" customHeight="1" x14ac:dyDescent="0.3">
      <c r="A564" s="14">
        <v>45627</v>
      </c>
      <c r="B564" s="15">
        <v>2024</v>
      </c>
      <c r="C564" s="15" t="s">
        <v>49</v>
      </c>
      <c r="D564" s="15" t="s">
        <v>27</v>
      </c>
      <c r="E564" s="15" t="s">
        <v>20</v>
      </c>
      <c r="F564" s="15" t="s">
        <v>26</v>
      </c>
      <c r="G564" s="15" t="s">
        <v>34</v>
      </c>
      <c r="H564" s="16">
        <v>320</v>
      </c>
      <c r="I564" s="17">
        <v>231.58</v>
      </c>
      <c r="J564" s="18">
        <v>0.11</v>
      </c>
      <c r="K564" s="17">
        <v>74106.720000000001</v>
      </c>
      <c r="L564" s="17">
        <v>65954.98</v>
      </c>
      <c r="M564" s="17">
        <v>157.85</v>
      </c>
      <c r="N564" s="17">
        <v>50511.12</v>
      </c>
      <c r="O564" s="17">
        <v>15443.86</v>
      </c>
      <c r="P564" s="18">
        <v>0.23419999999999999</v>
      </c>
      <c r="Q564" s="17">
        <v>1296.4100000000001</v>
      </c>
      <c r="R564" s="15" t="s">
        <v>40</v>
      </c>
    </row>
    <row r="565" spans="1:18" ht="14.25" customHeight="1" x14ac:dyDescent="0.3">
      <c r="A565" s="14">
        <v>45627</v>
      </c>
      <c r="B565" s="15">
        <v>2024</v>
      </c>
      <c r="C565" s="15" t="s">
        <v>49</v>
      </c>
      <c r="D565" s="15" t="s">
        <v>30</v>
      </c>
      <c r="E565" s="15" t="s">
        <v>25</v>
      </c>
      <c r="F565" s="15" t="s">
        <v>21</v>
      </c>
      <c r="G565" s="15" t="s">
        <v>34</v>
      </c>
      <c r="H565" s="16">
        <v>178</v>
      </c>
      <c r="I565" s="17">
        <v>224.74</v>
      </c>
      <c r="J565" s="18">
        <v>0.08</v>
      </c>
      <c r="K565" s="17">
        <v>40003.46</v>
      </c>
      <c r="L565" s="17">
        <v>36803.18</v>
      </c>
      <c r="M565" s="17">
        <v>157.85</v>
      </c>
      <c r="N565" s="17">
        <v>28096.81</v>
      </c>
      <c r="O565" s="17">
        <v>8706.3700000000008</v>
      </c>
      <c r="P565" s="18">
        <v>0.2366</v>
      </c>
      <c r="Q565" s="17">
        <v>920.89</v>
      </c>
      <c r="R565" s="15" t="s">
        <v>40</v>
      </c>
    </row>
    <row r="566" spans="1:18" ht="14.25" customHeight="1" x14ac:dyDescent="0.3">
      <c r="A566" s="14">
        <v>45627</v>
      </c>
      <c r="B566" s="15">
        <v>2024</v>
      </c>
      <c r="C566" s="15" t="s">
        <v>49</v>
      </c>
      <c r="D566" s="15" t="s">
        <v>19</v>
      </c>
      <c r="E566" s="15" t="s">
        <v>31</v>
      </c>
      <c r="F566" s="15" t="s">
        <v>32</v>
      </c>
      <c r="G566" s="15" t="s">
        <v>35</v>
      </c>
      <c r="H566" s="16">
        <v>1120</v>
      </c>
      <c r="I566" s="17">
        <v>11.35</v>
      </c>
      <c r="J566" s="18">
        <v>0.14499999999999999</v>
      </c>
      <c r="K566" s="17">
        <v>12714.91</v>
      </c>
      <c r="L566" s="17">
        <v>10871.25</v>
      </c>
      <c r="M566" s="17">
        <v>5.82</v>
      </c>
      <c r="N566" s="17">
        <v>6517.73</v>
      </c>
      <c r="O566" s="17">
        <v>4353.5200000000004</v>
      </c>
      <c r="P566" s="18">
        <v>0.40050000000000002</v>
      </c>
      <c r="Q566" s="17">
        <v>352.96</v>
      </c>
      <c r="R566" s="15" t="s">
        <v>40</v>
      </c>
    </row>
    <row r="567" spans="1:18" ht="14.25" customHeight="1" x14ac:dyDescent="0.3">
      <c r="A567" s="14">
        <v>45627</v>
      </c>
      <c r="B567" s="15">
        <v>2024</v>
      </c>
      <c r="C567" s="15" t="s">
        <v>49</v>
      </c>
      <c r="D567" s="15" t="s">
        <v>24</v>
      </c>
      <c r="E567" s="15" t="s">
        <v>20</v>
      </c>
      <c r="F567" s="15" t="s">
        <v>26</v>
      </c>
      <c r="G567" s="15" t="s">
        <v>35</v>
      </c>
      <c r="H567" s="16">
        <v>1078</v>
      </c>
      <c r="I567" s="17">
        <v>11.46</v>
      </c>
      <c r="J567" s="18">
        <v>0.11</v>
      </c>
      <c r="K567" s="17">
        <v>12358.08</v>
      </c>
      <c r="L567" s="17">
        <v>10998.7</v>
      </c>
      <c r="M567" s="17">
        <v>5.82</v>
      </c>
      <c r="N567" s="17">
        <v>6273.31</v>
      </c>
      <c r="O567" s="17">
        <v>4725.38</v>
      </c>
      <c r="P567" s="18">
        <v>0.42959999999999998</v>
      </c>
      <c r="Q567" s="17">
        <v>606.08000000000004</v>
      </c>
      <c r="R567" s="15" t="s">
        <v>40</v>
      </c>
    </row>
    <row r="568" spans="1:18" ht="14.25" customHeight="1" x14ac:dyDescent="0.3">
      <c r="A568" s="14">
        <v>45627</v>
      </c>
      <c r="B568" s="15">
        <v>2024</v>
      </c>
      <c r="C568" s="15" t="s">
        <v>49</v>
      </c>
      <c r="D568" s="15" t="s">
        <v>27</v>
      </c>
      <c r="E568" s="15" t="s">
        <v>25</v>
      </c>
      <c r="F568" s="15" t="s">
        <v>21</v>
      </c>
      <c r="G568" s="15" t="s">
        <v>35</v>
      </c>
      <c r="H568" s="16">
        <v>920</v>
      </c>
      <c r="I568" s="17">
        <v>11.58</v>
      </c>
      <c r="J568" s="18">
        <v>0.08</v>
      </c>
      <c r="K568" s="17">
        <v>10656.5</v>
      </c>
      <c r="L568" s="17">
        <v>9803.98</v>
      </c>
      <c r="M568" s="17">
        <v>5.82</v>
      </c>
      <c r="N568" s="17">
        <v>5353.85</v>
      </c>
      <c r="O568" s="17">
        <v>4450.13</v>
      </c>
      <c r="P568" s="18">
        <v>0.45390000000000003</v>
      </c>
      <c r="Q568" s="17">
        <v>519.54999999999995</v>
      </c>
      <c r="R568" s="15" t="s">
        <v>40</v>
      </c>
    </row>
    <row r="569" spans="1:18" ht="14.25" customHeight="1" x14ac:dyDescent="0.3">
      <c r="A569" s="14">
        <v>45627</v>
      </c>
      <c r="B569" s="15">
        <v>2024</v>
      </c>
      <c r="C569" s="15" t="s">
        <v>49</v>
      </c>
      <c r="D569" s="15" t="s">
        <v>30</v>
      </c>
      <c r="E569" s="15" t="s">
        <v>31</v>
      </c>
      <c r="F569" s="15" t="s">
        <v>32</v>
      </c>
      <c r="G569" s="15" t="s">
        <v>35</v>
      </c>
      <c r="H569" s="16">
        <v>940</v>
      </c>
      <c r="I569" s="17">
        <v>11.23</v>
      </c>
      <c r="J569" s="18">
        <v>0.14499999999999999</v>
      </c>
      <c r="K569" s="17">
        <v>10559.35</v>
      </c>
      <c r="L569" s="17">
        <v>9028.24</v>
      </c>
      <c r="M569" s="17">
        <v>5.82</v>
      </c>
      <c r="N569" s="17">
        <v>5470.24</v>
      </c>
      <c r="O569" s="17">
        <v>3558.01</v>
      </c>
      <c r="P569" s="18">
        <v>0.39410000000000001</v>
      </c>
      <c r="Q569" s="17">
        <v>320.45</v>
      </c>
      <c r="R569" s="15" t="s">
        <v>40</v>
      </c>
    </row>
    <row r="570" spans="1:18" ht="14.25" customHeight="1" x14ac:dyDescent="0.3">
      <c r="A570" s="14">
        <v>45627</v>
      </c>
      <c r="B570" s="15">
        <v>2024</v>
      </c>
      <c r="C570" s="15" t="s">
        <v>49</v>
      </c>
      <c r="D570" s="15" t="s">
        <v>19</v>
      </c>
      <c r="E570" s="15" t="s">
        <v>20</v>
      </c>
      <c r="F570" s="15" t="s">
        <v>26</v>
      </c>
      <c r="G570" s="15" t="s">
        <v>36</v>
      </c>
      <c r="H570" s="16">
        <v>343</v>
      </c>
      <c r="I570" s="17">
        <v>68.92</v>
      </c>
      <c r="J570" s="18">
        <v>9.5000000000000001E-2</v>
      </c>
      <c r="K570" s="17">
        <v>23639.06</v>
      </c>
      <c r="L570" s="17">
        <v>21393.35</v>
      </c>
      <c r="M570" s="17">
        <v>14.95</v>
      </c>
      <c r="N570" s="17">
        <v>5129.2</v>
      </c>
      <c r="O570" s="17">
        <v>16264.15</v>
      </c>
      <c r="P570" s="18">
        <v>0.76019999999999999</v>
      </c>
      <c r="Q570" s="17">
        <v>799.6</v>
      </c>
      <c r="R570" s="15" t="s">
        <v>40</v>
      </c>
    </row>
    <row r="571" spans="1:18" ht="14.25" customHeight="1" x14ac:dyDescent="0.3">
      <c r="A571" s="14">
        <v>45627</v>
      </c>
      <c r="B571" s="15">
        <v>2024</v>
      </c>
      <c r="C571" s="15" t="s">
        <v>49</v>
      </c>
      <c r="D571" s="15" t="s">
        <v>24</v>
      </c>
      <c r="E571" s="15" t="s">
        <v>28</v>
      </c>
      <c r="F571" s="15" t="s">
        <v>29</v>
      </c>
      <c r="G571" s="15" t="s">
        <v>36</v>
      </c>
      <c r="H571" s="16">
        <v>239</v>
      </c>
      <c r="I571" s="17">
        <v>69.61</v>
      </c>
      <c r="J571" s="18">
        <v>0.05</v>
      </c>
      <c r="K571" s="17">
        <v>16636.84</v>
      </c>
      <c r="L571" s="17">
        <v>15805</v>
      </c>
      <c r="M571" s="17">
        <v>14.95</v>
      </c>
      <c r="N571" s="17">
        <v>3573.99</v>
      </c>
      <c r="O571" s="17">
        <v>12231</v>
      </c>
      <c r="P571" s="18">
        <v>0.77390000000000003</v>
      </c>
      <c r="Q571" s="17">
        <v>616.36</v>
      </c>
      <c r="R571" s="15" t="s">
        <v>40</v>
      </c>
    </row>
    <row r="572" spans="1:18" ht="14.25" customHeight="1" x14ac:dyDescent="0.3">
      <c r="A572" s="14">
        <v>45627</v>
      </c>
      <c r="B572" s="15">
        <v>2024</v>
      </c>
      <c r="C572" s="15" t="s">
        <v>49</v>
      </c>
      <c r="D572" s="15" t="s">
        <v>27</v>
      </c>
      <c r="E572" s="15" t="s">
        <v>31</v>
      </c>
      <c r="F572" s="15" t="s">
        <v>32</v>
      </c>
      <c r="G572" s="15" t="s">
        <v>36</v>
      </c>
      <c r="H572" s="16">
        <v>507</v>
      </c>
      <c r="I572" s="17">
        <v>70.3</v>
      </c>
      <c r="J572" s="18">
        <v>0.13</v>
      </c>
      <c r="K572" s="17">
        <v>35643.040000000001</v>
      </c>
      <c r="L572" s="17">
        <v>31009.439999999999</v>
      </c>
      <c r="M572" s="17">
        <v>14.95</v>
      </c>
      <c r="N572" s="17">
        <v>7581.65</v>
      </c>
      <c r="O572" s="17">
        <v>23427.79</v>
      </c>
      <c r="P572" s="18">
        <v>0.75549999999999995</v>
      </c>
      <c r="Q572" s="17">
        <v>572.64</v>
      </c>
      <c r="R572" s="15" t="s">
        <v>40</v>
      </c>
    </row>
    <row r="573" spans="1:18" ht="14.25" customHeight="1" x14ac:dyDescent="0.3">
      <c r="A573" s="14">
        <v>45627</v>
      </c>
      <c r="B573" s="15">
        <v>2024</v>
      </c>
      <c r="C573" s="15" t="s">
        <v>49</v>
      </c>
      <c r="D573" s="15" t="s">
        <v>30</v>
      </c>
      <c r="E573" s="15" t="s">
        <v>20</v>
      </c>
      <c r="F573" s="15" t="s">
        <v>21</v>
      </c>
      <c r="G573" s="15" t="s">
        <v>36</v>
      </c>
      <c r="H573" s="16">
        <v>268</v>
      </c>
      <c r="I573" s="17">
        <v>68.23</v>
      </c>
      <c r="J573" s="18">
        <v>9.5000000000000001E-2</v>
      </c>
      <c r="K573" s="17">
        <v>18284.810000000001</v>
      </c>
      <c r="L573" s="17">
        <v>16547.75</v>
      </c>
      <c r="M573" s="17">
        <v>14.95</v>
      </c>
      <c r="N573" s="17">
        <v>4007.66</v>
      </c>
      <c r="O573" s="17">
        <v>12540.09</v>
      </c>
      <c r="P573" s="18">
        <v>0.75780000000000003</v>
      </c>
      <c r="Q573" s="17">
        <v>715.18</v>
      </c>
      <c r="R573" s="15" t="s">
        <v>40</v>
      </c>
    </row>
    <row r="574" spans="1:18" ht="14.25" customHeight="1" x14ac:dyDescent="0.3">
      <c r="A574" s="14">
        <v>45627</v>
      </c>
      <c r="B574" s="15">
        <v>2024</v>
      </c>
      <c r="C574" s="15" t="s">
        <v>49</v>
      </c>
      <c r="D574" s="15" t="s">
        <v>19</v>
      </c>
      <c r="E574" s="15" t="s">
        <v>25</v>
      </c>
      <c r="F574" s="15" t="s">
        <v>21</v>
      </c>
      <c r="G574" s="15" t="s">
        <v>37</v>
      </c>
      <c r="H574" s="16">
        <v>231</v>
      </c>
      <c r="I574" s="17">
        <v>52.7</v>
      </c>
      <c r="J574" s="18">
        <v>6.5000000000000002E-2</v>
      </c>
      <c r="K574" s="17">
        <v>12173.83</v>
      </c>
      <c r="L574" s="17">
        <v>11382.53</v>
      </c>
      <c r="M574" s="17">
        <v>7.47</v>
      </c>
      <c r="N574" s="17">
        <v>1726.26</v>
      </c>
      <c r="O574" s="17">
        <v>9656.27</v>
      </c>
      <c r="P574" s="18">
        <v>0.84830000000000005</v>
      </c>
      <c r="Q574" s="17">
        <v>436.91</v>
      </c>
      <c r="R574" s="15" t="s">
        <v>40</v>
      </c>
    </row>
    <row r="575" spans="1:18" ht="14.25" customHeight="1" x14ac:dyDescent="0.3">
      <c r="A575" s="14">
        <v>45627</v>
      </c>
      <c r="B575" s="15">
        <v>2024</v>
      </c>
      <c r="C575" s="15" t="s">
        <v>49</v>
      </c>
      <c r="D575" s="15" t="s">
        <v>24</v>
      </c>
      <c r="E575" s="15" t="s">
        <v>28</v>
      </c>
      <c r="F575" s="15" t="s">
        <v>32</v>
      </c>
      <c r="G575" s="15" t="s">
        <v>37</v>
      </c>
      <c r="H575" s="16">
        <v>200</v>
      </c>
      <c r="I575" s="17">
        <v>53.23</v>
      </c>
      <c r="J575" s="18">
        <v>0.05</v>
      </c>
      <c r="K575" s="17">
        <v>10646.64</v>
      </c>
      <c r="L575" s="17">
        <v>10114.31</v>
      </c>
      <c r="M575" s="17">
        <v>7.47</v>
      </c>
      <c r="N575" s="17">
        <v>1494.6</v>
      </c>
      <c r="O575" s="17">
        <v>8619.7099999999991</v>
      </c>
      <c r="P575" s="18">
        <v>0.85219999999999996</v>
      </c>
      <c r="Q575" s="17">
        <v>396.23</v>
      </c>
      <c r="R575" s="15" t="s">
        <v>40</v>
      </c>
    </row>
    <row r="576" spans="1:18" ht="14.25" customHeight="1" x14ac:dyDescent="0.3">
      <c r="A576" s="14">
        <v>45627</v>
      </c>
      <c r="B576" s="15">
        <v>2024</v>
      </c>
      <c r="C576" s="15" t="s">
        <v>49</v>
      </c>
      <c r="D576" s="15" t="s">
        <v>27</v>
      </c>
      <c r="E576" s="15" t="s">
        <v>20</v>
      </c>
      <c r="F576" s="15" t="s">
        <v>21</v>
      </c>
      <c r="G576" s="15" t="s">
        <v>37</v>
      </c>
      <c r="H576" s="16">
        <v>323</v>
      </c>
      <c r="I576" s="17">
        <v>53.76</v>
      </c>
      <c r="J576" s="18">
        <v>9.5000000000000001E-2</v>
      </c>
      <c r="K576" s="17">
        <v>17363.8</v>
      </c>
      <c r="L576" s="17">
        <v>15714.24</v>
      </c>
      <c r="M576" s="17">
        <v>7.47</v>
      </c>
      <c r="N576" s="17">
        <v>2413.7800000000002</v>
      </c>
      <c r="O576" s="17">
        <v>13300.46</v>
      </c>
      <c r="P576" s="18">
        <v>0.84640000000000004</v>
      </c>
      <c r="Q576" s="17">
        <v>547.05999999999995</v>
      </c>
      <c r="R576" s="15" t="s">
        <v>40</v>
      </c>
    </row>
    <row r="577" spans="1:18" ht="14.25" customHeight="1" x14ac:dyDescent="0.3">
      <c r="A577" s="14">
        <v>45627</v>
      </c>
      <c r="B577" s="15">
        <v>2024</v>
      </c>
      <c r="C577" s="15" t="s">
        <v>49</v>
      </c>
      <c r="D577" s="15" t="s">
        <v>30</v>
      </c>
      <c r="E577" s="15" t="s">
        <v>25</v>
      </c>
      <c r="F577" s="15" t="s">
        <v>26</v>
      </c>
      <c r="G577" s="15" t="s">
        <v>37</v>
      </c>
      <c r="H577" s="16">
        <v>176</v>
      </c>
      <c r="I577" s="17">
        <v>52.18</v>
      </c>
      <c r="J577" s="18">
        <v>6.5000000000000002E-2</v>
      </c>
      <c r="K577" s="17">
        <v>9182.9500000000007</v>
      </c>
      <c r="L577" s="17">
        <v>8586.06</v>
      </c>
      <c r="M577" s="17">
        <v>7.47</v>
      </c>
      <c r="N577" s="17">
        <v>1315.25</v>
      </c>
      <c r="O577" s="17">
        <v>7270.81</v>
      </c>
      <c r="P577" s="18">
        <v>0.8468</v>
      </c>
      <c r="Q577" s="17">
        <v>381.35</v>
      </c>
      <c r="R577" s="15" t="s">
        <v>40</v>
      </c>
    </row>
    <row r="578" spans="1:18" ht="14.25" customHeight="1" x14ac:dyDescent="0.3">
      <c r="A578" s="14">
        <v>45658</v>
      </c>
      <c r="B578" s="15">
        <v>2025</v>
      </c>
      <c r="C578" s="15" t="s">
        <v>18</v>
      </c>
      <c r="D578" s="15" t="s">
        <v>19</v>
      </c>
      <c r="E578" s="15" t="s">
        <v>20</v>
      </c>
      <c r="F578" s="15" t="s">
        <v>21</v>
      </c>
      <c r="G578" s="15" t="s">
        <v>22</v>
      </c>
      <c r="H578" s="16">
        <v>159</v>
      </c>
      <c r="I578" s="17">
        <v>515.94000000000005</v>
      </c>
      <c r="J578" s="18">
        <v>8.5000000000000006E-2</v>
      </c>
      <c r="K578" s="17">
        <v>82034.320000000007</v>
      </c>
      <c r="L578" s="17">
        <v>75061.399999999994</v>
      </c>
      <c r="M578" s="17">
        <v>405.53</v>
      </c>
      <c r="N578" s="17">
        <v>64479.19</v>
      </c>
      <c r="O578" s="17">
        <v>10582.21</v>
      </c>
      <c r="P578" s="18">
        <v>0.14099999999999999</v>
      </c>
      <c r="Q578" s="17">
        <v>1225.94</v>
      </c>
      <c r="R578" s="15" t="s">
        <v>23</v>
      </c>
    </row>
    <row r="579" spans="1:18" ht="14.25" customHeight="1" x14ac:dyDescent="0.3">
      <c r="A579" s="14">
        <v>45658</v>
      </c>
      <c r="B579" s="15">
        <v>2025</v>
      </c>
      <c r="C579" s="15" t="s">
        <v>18</v>
      </c>
      <c r="D579" s="15" t="s">
        <v>24</v>
      </c>
      <c r="E579" s="15" t="s">
        <v>25</v>
      </c>
      <c r="F579" s="15" t="s">
        <v>26</v>
      </c>
      <c r="G579" s="15" t="s">
        <v>22</v>
      </c>
      <c r="H579" s="16">
        <v>143</v>
      </c>
      <c r="I579" s="17">
        <v>521.12</v>
      </c>
      <c r="J579" s="18">
        <v>5.5E-2</v>
      </c>
      <c r="K579" s="17">
        <v>74520.52</v>
      </c>
      <c r="L579" s="17">
        <v>70421.89</v>
      </c>
      <c r="M579" s="17">
        <v>405.53</v>
      </c>
      <c r="N579" s="17">
        <v>57990.720000000001</v>
      </c>
      <c r="O579" s="17">
        <v>12431.17</v>
      </c>
      <c r="P579" s="18">
        <v>0.17649999999999999</v>
      </c>
      <c r="Q579" s="17">
        <v>1141.57</v>
      </c>
      <c r="R579" s="15" t="s">
        <v>23</v>
      </c>
    </row>
    <row r="580" spans="1:18" ht="14.25" customHeight="1" x14ac:dyDescent="0.3">
      <c r="A580" s="14">
        <v>45658</v>
      </c>
      <c r="B580" s="15">
        <v>2025</v>
      </c>
      <c r="C580" s="15" t="s">
        <v>18</v>
      </c>
      <c r="D580" s="15" t="s">
        <v>27</v>
      </c>
      <c r="E580" s="15" t="s">
        <v>28</v>
      </c>
      <c r="F580" s="15" t="s">
        <v>29</v>
      </c>
      <c r="G580" s="15" t="s">
        <v>22</v>
      </c>
      <c r="H580" s="16">
        <v>106</v>
      </c>
      <c r="I580" s="17">
        <v>526.30999999999995</v>
      </c>
      <c r="J580" s="18">
        <v>0.04</v>
      </c>
      <c r="K580" s="17">
        <v>55788.43</v>
      </c>
      <c r="L580" s="17">
        <v>53556.89</v>
      </c>
      <c r="M580" s="17">
        <v>405.53</v>
      </c>
      <c r="N580" s="17">
        <v>42986.13</v>
      </c>
      <c r="O580" s="17">
        <v>10570.77</v>
      </c>
      <c r="P580" s="18">
        <v>0.19739999999999999</v>
      </c>
      <c r="Q580" s="17">
        <v>989.15</v>
      </c>
      <c r="R580" s="15" t="s">
        <v>23</v>
      </c>
    </row>
    <row r="581" spans="1:18" ht="14.25" customHeight="1" x14ac:dyDescent="0.3">
      <c r="A581" s="14">
        <v>45658</v>
      </c>
      <c r="B581" s="15">
        <v>2025</v>
      </c>
      <c r="C581" s="15" t="s">
        <v>18</v>
      </c>
      <c r="D581" s="15" t="s">
        <v>30</v>
      </c>
      <c r="E581" s="15" t="s">
        <v>31</v>
      </c>
      <c r="F581" s="15" t="s">
        <v>32</v>
      </c>
      <c r="G581" s="15" t="s">
        <v>22</v>
      </c>
      <c r="H581" s="16">
        <v>139</v>
      </c>
      <c r="I581" s="17">
        <v>510.76</v>
      </c>
      <c r="J581" s="18">
        <v>0.12</v>
      </c>
      <c r="K581" s="17">
        <v>70995.039999999994</v>
      </c>
      <c r="L581" s="17">
        <v>62475.64</v>
      </c>
      <c r="M581" s="17">
        <v>405.53</v>
      </c>
      <c r="N581" s="17">
        <v>56368.6</v>
      </c>
      <c r="O581" s="17">
        <v>6107.04</v>
      </c>
      <c r="P581" s="18">
        <v>9.7799999999999998E-2</v>
      </c>
      <c r="Q581" s="17">
        <v>676.85</v>
      </c>
      <c r="R581" s="15" t="s">
        <v>23</v>
      </c>
    </row>
    <row r="582" spans="1:18" ht="14.25" customHeight="1" x14ac:dyDescent="0.3">
      <c r="A582" s="14">
        <v>45658</v>
      </c>
      <c r="B582" s="15">
        <v>2025</v>
      </c>
      <c r="C582" s="15" t="s">
        <v>18</v>
      </c>
      <c r="D582" s="15" t="s">
        <v>19</v>
      </c>
      <c r="E582" s="15" t="s">
        <v>25</v>
      </c>
      <c r="F582" s="15" t="s">
        <v>26</v>
      </c>
      <c r="G582" s="15" t="s">
        <v>33</v>
      </c>
      <c r="H582" s="16">
        <v>85</v>
      </c>
      <c r="I582" s="17">
        <v>732.3</v>
      </c>
      <c r="J582" s="18">
        <v>5.5E-2</v>
      </c>
      <c r="K582" s="17">
        <v>62245.36</v>
      </c>
      <c r="L582" s="17">
        <v>58821.87</v>
      </c>
      <c r="M582" s="17">
        <v>601.76</v>
      </c>
      <c r="N582" s="17">
        <v>51149.54</v>
      </c>
      <c r="O582" s="17">
        <v>7672.32</v>
      </c>
      <c r="P582" s="18">
        <v>0.13039999999999999</v>
      </c>
      <c r="Q582" s="17">
        <v>1039.8800000000001</v>
      </c>
      <c r="R582" s="15" t="s">
        <v>23</v>
      </c>
    </row>
    <row r="583" spans="1:18" ht="14.25" customHeight="1" x14ac:dyDescent="0.3">
      <c r="A583" s="14">
        <v>45658</v>
      </c>
      <c r="B583" s="15">
        <v>2025</v>
      </c>
      <c r="C583" s="15" t="s">
        <v>18</v>
      </c>
      <c r="D583" s="15" t="s">
        <v>24</v>
      </c>
      <c r="E583" s="15" t="s">
        <v>28</v>
      </c>
      <c r="F583" s="15" t="s">
        <v>29</v>
      </c>
      <c r="G583" s="15" t="s">
        <v>33</v>
      </c>
      <c r="H583" s="16">
        <v>67</v>
      </c>
      <c r="I583" s="17">
        <v>739.66</v>
      </c>
      <c r="J583" s="18">
        <v>0.04</v>
      </c>
      <c r="K583" s="17">
        <v>49557.22</v>
      </c>
      <c r="L583" s="17">
        <v>47574.93</v>
      </c>
      <c r="M583" s="17">
        <v>601.76</v>
      </c>
      <c r="N583" s="17">
        <v>40317.879999999997</v>
      </c>
      <c r="O583" s="17">
        <v>7257.05</v>
      </c>
      <c r="P583" s="18">
        <v>0.1525</v>
      </c>
      <c r="Q583" s="17">
        <v>970.41</v>
      </c>
      <c r="R583" s="15" t="s">
        <v>23</v>
      </c>
    </row>
    <row r="584" spans="1:18" ht="14.25" customHeight="1" x14ac:dyDescent="0.3">
      <c r="A584" s="14">
        <v>45658</v>
      </c>
      <c r="B584" s="15">
        <v>2025</v>
      </c>
      <c r="C584" s="15" t="s">
        <v>18</v>
      </c>
      <c r="D584" s="15" t="s">
        <v>27</v>
      </c>
      <c r="E584" s="15" t="s">
        <v>31</v>
      </c>
      <c r="F584" s="15" t="s">
        <v>32</v>
      </c>
      <c r="G584" s="15" t="s">
        <v>33</v>
      </c>
      <c r="H584" s="16">
        <v>140</v>
      </c>
      <c r="I584" s="17">
        <v>747.02</v>
      </c>
      <c r="J584" s="18">
        <v>0.12</v>
      </c>
      <c r="K584" s="17">
        <v>104583.05</v>
      </c>
      <c r="L584" s="17">
        <v>92033.08</v>
      </c>
      <c r="M584" s="17">
        <v>601.76</v>
      </c>
      <c r="N584" s="17">
        <v>84246.31</v>
      </c>
      <c r="O584" s="17">
        <v>7786.77</v>
      </c>
      <c r="P584" s="18">
        <v>8.4599999999999995E-2</v>
      </c>
      <c r="Q584" s="17">
        <v>856.58</v>
      </c>
      <c r="R584" s="15" t="s">
        <v>23</v>
      </c>
    </row>
    <row r="585" spans="1:18" ht="14.25" customHeight="1" x14ac:dyDescent="0.3">
      <c r="A585" s="14">
        <v>45658</v>
      </c>
      <c r="B585" s="15">
        <v>2025</v>
      </c>
      <c r="C585" s="15" t="s">
        <v>18</v>
      </c>
      <c r="D585" s="15" t="s">
        <v>30</v>
      </c>
      <c r="E585" s="15" t="s">
        <v>20</v>
      </c>
      <c r="F585" s="15" t="s">
        <v>21</v>
      </c>
      <c r="G585" s="15" t="s">
        <v>33</v>
      </c>
      <c r="H585" s="16">
        <v>80</v>
      </c>
      <c r="I585" s="17">
        <v>724.94</v>
      </c>
      <c r="J585" s="18">
        <v>8.5000000000000006E-2</v>
      </c>
      <c r="K585" s="17">
        <v>57994.93</v>
      </c>
      <c r="L585" s="17">
        <v>53065.36</v>
      </c>
      <c r="M585" s="17">
        <v>601.76</v>
      </c>
      <c r="N585" s="17">
        <v>48140.75</v>
      </c>
      <c r="O585" s="17">
        <v>4924.6099999999997</v>
      </c>
      <c r="P585" s="18">
        <v>9.2799999999999994E-2</v>
      </c>
      <c r="Q585" s="17">
        <v>1107.5899999999999</v>
      </c>
      <c r="R585" s="15" t="s">
        <v>23</v>
      </c>
    </row>
    <row r="586" spans="1:18" ht="14.25" customHeight="1" x14ac:dyDescent="0.3">
      <c r="A586" s="14">
        <v>45658</v>
      </c>
      <c r="B586" s="15">
        <v>2025</v>
      </c>
      <c r="C586" s="15" t="s">
        <v>18</v>
      </c>
      <c r="D586" s="15" t="s">
        <v>19</v>
      </c>
      <c r="E586" s="15" t="s">
        <v>31</v>
      </c>
      <c r="F586" s="15" t="s">
        <v>32</v>
      </c>
      <c r="G586" s="15" t="s">
        <v>34</v>
      </c>
      <c r="H586" s="16">
        <v>222</v>
      </c>
      <c r="I586" s="17">
        <v>233.01</v>
      </c>
      <c r="J586" s="18">
        <v>0.12</v>
      </c>
      <c r="K586" s="17">
        <v>51727.45</v>
      </c>
      <c r="L586" s="17">
        <v>45520.160000000003</v>
      </c>
      <c r="M586" s="17">
        <v>165.7</v>
      </c>
      <c r="N586" s="17">
        <v>36785.81</v>
      </c>
      <c r="O586" s="17">
        <v>8734.35</v>
      </c>
      <c r="P586" s="18">
        <v>0.19189999999999999</v>
      </c>
      <c r="Q586" s="17">
        <v>549.63</v>
      </c>
      <c r="R586" s="15" t="s">
        <v>23</v>
      </c>
    </row>
    <row r="587" spans="1:18" ht="14.25" customHeight="1" x14ac:dyDescent="0.3">
      <c r="A587" s="14">
        <v>45658</v>
      </c>
      <c r="B587" s="15">
        <v>2025</v>
      </c>
      <c r="C587" s="15" t="s">
        <v>18</v>
      </c>
      <c r="D587" s="15" t="s">
        <v>24</v>
      </c>
      <c r="E587" s="15" t="s">
        <v>20</v>
      </c>
      <c r="F587" s="15" t="s">
        <v>26</v>
      </c>
      <c r="G587" s="15" t="s">
        <v>34</v>
      </c>
      <c r="H587" s="16">
        <v>226</v>
      </c>
      <c r="I587" s="17">
        <v>235.34</v>
      </c>
      <c r="J587" s="18">
        <v>8.5000000000000006E-2</v>
      </c>
      <c r="K587" s="17">
        <v>53187.71</v>
      </c>
      <c r="L587" s="17">
        <v>48666.75</v>
      </c>
      <c r="M587" s="17">
        <v>165.7</v>
      </c>
      <c r="N587" s="17">
        <v>37448.620000000003</v>
      </c>
      <c r="O587" s="17">
        <v>11218.13</v>
      </c>
      <c r="P587" s="18">
        <v>0.23050000000000001</v>
      </c>
      <c r="Q587" s="17">
        <v>921.48</v>
      </c>
      <c r="R587" s="15" t="s">
        <v>23</v>
      </c>
    </row>
    <row r="588" spans="1:18" ht="14.25" customHeight="1" x14ac:dyDescent="0.3">
      <c r="A588" s="14">
        <v>45658</v>
      </c>
      <c r="B588" s="15">
        <v>2025</v>
      </c>
      <c r="C588" s="15" t="s">
        <v>18</v>
      </c>
      <c r="D588" s="15" t="s">
        <v>27</v>
      </c>
      <c r="E588" s="15" t="s">
        <v>25</v>
      </c>
      <c r="F588" s="15" t="s">
        <v>21</v>
      </c>
      <c r="G588" s="15" t="s">
        <v>34</v>
      </c>
      <c r="H588" s="16">
        <v>202</v>
      </c>
      <c r="I588" s="17">
        <v>237.69</v>
      </c>
      <c r="J588" s="18">
        <v>5.5E-2</v>
      </c>
      <c r="K588" s="17">
        <v>48013.2</v>
      </c>
      <c r="L588" s="17">
        <v>45372.47</v>
      </c>
      <c r="M588" s="17">
        <v>165.7</v>
      </c>
      <c r="N588" s="17">
        <v>33471.769999999997</v>
      </c>
      <c r="O588" s="17">
        <v>11900.7</v>
      </c>
      <c r="P588" s="18">
        <v>0.26229999999999998</v>
      </c>
      <c r="Q588" s="17">
        <v>822.57</v>
      </c>
      <c r="R588" s="15" t="s">
        <v>23</v>
      </c>
    </row>
    <row r="589" spans="1:18" ht="14.25" customHeight="1" x14ac:dyDescent="0.3">
      <c r="A589" s="14">
        <v>45658</v>
      </c>
      <c r="B589" s="15">
        <v>2025</v>
      </c>
      <c r="C589" s="15" t="s">
        <v>18</v>
      </c>
      <c r="D589" s="15" t="s">
        <v>30</v>
      </c>
      <c r="E589" s="15" t="s">
        <v>31</v>
      </c>
      <c r="F589" s="15" t="s">
        <v>32</v>
      </c>
      <c r="G589" s="15" t="s">
        <v>34</v>
      </c>
      <c r="H589" s="16">
        <v>174</v>
      </c>
      <c r="I589" s="17">
        <v>230.66</v>
      </c>
      <c r="J589" s="18">
        <v>0.12</v>
      </c>
      <c r="K589" s="17">
        <v>40135.07</v>
      </c>
      <c r="L589" s="17">
        <v>35318.86</v>
      </c>
      <c r="M589" s="17">
        <v>165.7</v>
      </c>
      <c r="N589" s="17">
        <v>28832.12</v>
      </c>
      <c r="O589" s="17">
        <v>6486.74</v>
      </c>
      <c r="P589" s="18">
        <v>0.1837</v>
      </c>
      <c r="Q589" s="17">
        <v>501.2</v>
      </c>
      <c r="R589" s="15" t="s">
        <v>23</v>
      </c>
    </row>
    <row r="590" spans="1:18" ht="14.25" customHeight="1" x14ac:dyDescent="0.3">
      <c r="A590" s="14">
        <v>45658</v>
      </c>
      <c r="B590" s="15">
        <v>2025</v>
      </c>
      <c r="C590" s="15" t="s">
        <v>18</v>
      </c>
      <c r="D590" s="15" t="s">
        <v>19</v>
      </c>
      <c r="E590" s="15" t="s">
        <v>20</v>
      </c>
      <c r="F590" s="15" t="s">
        <v>26</v>
      </c>
      <c r="G590" s="15" t="s">
        <v>35</v>
      </c>
      <c r="H590" s="16">
        <v>744</v>
      </c>
      <c r="I590" s="17">
        <v>11.65</v>
      </c>
      <c r="J590" s="18">
        <v>8.5000000000000006E-2</v>
      </c>
      <c r="K590" s="17">
        <v>8665.18</v>
      </c>
      <c r="L590" s="17">
        <v>7928.64</v>
      </c>
      <c r="M590" s="17">
        <v>6.11</v>
      </c>
      <c r="N590" s="17">
        <v>4542.57</v>
      </c>
      <c r="O590" s="17">
        <v>3386.07</v>
      </c>
      <c r="P590" s="18">
        <v>0.42709999999999998</v>
      </c>
      <c r="Q590" s="17">
        <v>412.25</v>
      </c>
      <c r="R590" s="15" t="s">
        <v>23</v>
      </c>
    </row>
    <row r="591" spans="1:18" ht="14.25" customHeight="1" x14ac:dyDescent="0.3">
      <c r="A591" s="14">
        <v>45658</v>
      </c>
      <c r="B591" s="15">
        <v>2025</v>
      </c>
      <c r="C591" s="15" t="s">
        <v>18</v>
      </c>
      <c r="D591" s="15" t="s">
        <v>24</v>
      </c>
      <c r="E591" s="15" t="s">
        <v>25</v>
      </c>
      <c r="F591" s="15" t="s">
        <v>21</v>
      </c>
      <c r="G591" s="15" t="s">
        <v>35</v>
      </c>
      <c r="H591" s="16">
        <v>712</v>
      </c>
      <c r="I591" s="17">
        <v>11.77</v>
      </c>
      <c r="J591" s="18">
        <v>5.5E-2</v>
      </c>
      <c r="K591" s="17">
        <v>8377.39</v>
      </c>
      <c r="L591" s="17">
        <v>7916.63</v>
      </c>
      <c r="M591" s="17">
        <v>6.11</v>
      </c>
      <c r="N591" s="17">
        <v>4347.1899999999996</v>
      </c>
      <c r="O591" s="17">
        <v>3569.45</v>
      </c>
      <c r="P591" s="18">
        <v>0.45090000000000002</v>
      </c>
      <c r="Q591" s="17">
        <v>380.97</v>
      </c>
      <c r="R591" s="15" t="s">
        <v>23</v>
      </c>
    </row>
    <row r="592" spans="1:18" ht="14.25" customHeight="1" x14ac:dyDescent="0.3">
      <c r="A592" s="14">
        <v>45658</v>
      </c>
      <c r="B592" s="15">
        <v>2025</v>
      </c>
      <c r="C592" s="15" t="s">
        <v>18</v>
      </c>
      <c r="D592" s="15" t="s">
        <v>27</v>
      </c>
      <c r="E592" s="15" t="s">
        <v>31</v>
      </c>
      <c r="F592" s="15" t="s">
        <v>32</v>
      </c>
      <c r="G592" s="15" t="s">
        <v>35</v>
      </c>
      <c r="H592" s="16">
        <v>1060</v>
      </c>
      <c r="I592" s="17">
        <v>11.89</v>
      </c>
      <c r="J592" s="18">
        <v>0.12</v>
      </c>
      <c r="K592" s="17">
        <v>12598.37</v>
      </c>
      <c r="L592" s="17">
        <v>11086.56</v>
      </c>
      <c r="M592" s="17">
        <v>6.11</v>
      </c>
      <c r="N592" s="17">
        <v>6471.94</v>
      </c>
      <c r="O592" s="17">
        <v>4614.63</v>
      </c>
      <c r="P592" s="18">
        <v>0.41620000000000001</v>
      </c>
      <c r="Q592" s="17">
        <v>303.56</v>
      </c>
      <c r="R592" s="15" t="s">
        <v>23</v>
      </c>
    </row>
    <row r="593" spans="1:18" ht="14.25" customHeight="1" x14ac:dyDescent="0.3">
      <c r="A593" s="14">
        <v>45658</v>
      </c>
      <c r="B593" s="15">
        <v>2025</v>
      </c>
      <c r="C593" s="15" t="s">
        <v>18</v>
      </c>
      <c r="D593" s="15" t="s">
        <v>30</v>
      </c>
      <c r="E593" s="15" t="s">
        <v>20</v>
      </c>
      <c r="F593" s="15" t="s">
        <v>21</v>
      </c>
      <c r="G593" s="15" t="s">
        <v>35</v>
      </c>
      <c r="H593" s="16">
        <v>573</v>
      </c>
      <c r="I593" s="17">
        <v>11.54</v>
      </c>
      <c r="J593" s="18">
        <v>8.5000000000000006E-2</v>
      </c>
      <c r="K593" s="17">
        <v>6609.81</v>
      </c>
      <c r="L593" s="17">
        <v>6047.98</v>
      </c>
      <c r="M593" s="17">
        <v>6.11</v>
      </c>
      <c r="N593" s="17">
        <v>3498.51</v>
      </c>
      <c r="O593" s="17">
        <v>2549.4699999999998</v>
      </c>
      <c r="P593" s="18">
        <v>0.42149999999999999</v>
      </c>
      <c r="Q593" s="17">
        <v>376.89</v>
      </c>
      <c r="R593" s="15" t="s">
        <v>23</v>
      </c>
    </row>
    <row r="594" spans="1:18" ht="14.25" customHeight="1" x14ac:dyDescent="0.3">
      <c r="A594" s="14">
        <v>45658</v>
      </c>
      <c r="B594" s="15">
        <v>2025</v>
      </c>
      <c r="C594" s="15" t="s">
        <v>18</v>
      </c>
      <c r="D594" s="15" t="s">
        <v>19</v>
      </c>
      <c r="E594" s="15" t="s">
        <v>28</v>
      </c>
      <c r="F594" s="15" t="s">
        <v>29</v>
      </c>
      <c r="G594" s="15" t="s">
        <v>36</v>
      </c>
      <c r="H594" s="16">
        <v>142</v>
      </c>
      <c r="I594" s="17">
        <v>70.73</v>
      </c>
      <c r="J594" s="18">
        <v>2.5000000000000001E-2</v>
      </c>
      <c r="K594" s="17">
        <v>10043.82</v>
      </c>
      <c r="L594" s="17">
        <v>9792.73</v>
      </c>
      <c r="M594" s="17">
        <v>15.7</v>
      </c>
      <c r="N594" s="17">
        <v>2229.58</v>
      </c>
      <c r="O594" s="17">
        <v>7563.15</v>
      </c>
      <c r="P594" s="18">
        <v>0.77229999999999999</v>
      </c>
      <c r="Q594" s="17">
        <v>416.41</v>
      </c>
      <c r="R594" s="15" t="s">
        <v>23</v>
      </c>
    </row>
    <row r="595" spans="1:18" ht="14.25" customHeight="1" x14ac:dyDescent="0.3">
      <c r="A595" s="14">
        <v>45658</v>
      </c>
      <c r="B595" s="15">
        <v>2025</v>
      </c>
      <c r="C595" s="15" t="s">
        <v>18</v>
      </c>
      <c r="D595" s="15" t="s">
        <v>24</v>
      </c>
      <c r="E595" s="15" t="s">
        <v>31</v>
      </c>
      <c r="F595" s="15" t="s">
        <v>32</v>
      </c>
      <c r="G595" s="15" t="s">
        <v>36</v>
      </c>
      <c r="H595" s="16">
        <v>334</v>
      </c>
      <c r="I595" s="17">
        <v>71.45</v>
      </c>
      <c r="J595" s="18">
        <v>0.105</v>
      </c>
      <c r="K595" s="17">
        <v>23863.18</v>
      </c>
      <c r="L595" s="17">
        <v>21357.55</v>
      </c>
      <c r="M595" s="17">
        <v>15.7</v>
      </c>
      <c r="N595" s="17">
        <v>5244.22</v>
      </c>
      <c r="O595" s="17">
        <v>16113.33</v>
      </c>
      <c r="P595" s="18">
        <v>0.75449999999999995</v>
      </c>
      <c r="Q595" s="17">
        <v>424.67</v>
      </c>
      <c r="R595" s="15" t="s">
        <v>23</v>
      </c>
    </row>
    <row r="596" spans="1:18" ht="14.25" customHeight="1" x14ac:dyDescent="0.3">
      <c r="A596" s="14">
        <v>45658</v>
      </c>
      <c r="B596" s="15">
        <v>2025</v>
      </c>
      <c r="C596" s="15" t="s">
        <v>18</v>
      </c>
      <c r="D596" s="15" t="s">
        <v>27</v>
      </c>
      <c r="E596" s="15" t="s">
        <v>20</v>
      </c>
      <c r="F596" s="15" t="s">
        <v>21</v>
      </c>
      <c r="G596" s="15" t="s">
        <v>36</v>
      </c>
      <c r="H596" s="16">
        <v>316</v>
      </c>
      <c r="I596" s="17">
        <v>72.150000000000006</v>
      </c>
      <c r="J596" s="18">
        <v>7.0000000000000007E-2</v>
      </c>
      <c r="K596" s="17">
        <v>22800.73</v>
      </c>
      <c r="L596" s="17">
        <v>21204.68</v>
      </c>
      <c r="M596" s="17">
        <v>15.7</v>
      </c>
      <c r="N596" s="17">
        <v>4961.6000000000004</v>
      </c>
      <c r="O596" s="17">
        <v>16243.08</v>
      </c>
      <c r="P596" s="18">
        <v>0.76600000000000001</v>
      </c>
      <c r="Q596" s="17">
        <v>677.33</v>
      </c>
      <c r="R596" s="15" t="s">
        <v>23</v>
      </c>
    </row>
    <row r="597" spans="1:18" ht="14.25" customHeight="1" x14ac:dyDescent="0.3">
      <c r="A597" s="14">
        <v>45658</v>
      </c>
      <c r="B597" s="15">
        <v>2025</v>
      </c>
      <c r="C597" s="15" t="s">
        <v>18</v>
      </c>
      <c r="D597" s="15" t="s">
        <v>30</v>
      </c>
      <c r="E597" s="15" t="s">
        <v>28</v>
      </c>
      <c r="F597" s="15" t="s">
        <v>32</v>
      </c>
      <c r="G597" s="15" t="s">
        <v>36</v>
      </c>
      <c r="H597" s="16">
        <v>121</v>
      </c>
      <c r="I597" s="17">
        <v>70.02</v>
      </c>
      <c r="J597" s="18">
        <v>2.5000000000000001E-2</v>
      </c>
      <c r="K597" s="17">
        <v>8472.86</v>
      </c>
      <c r="L597" s="17">
        <v>8261.0400000000009</v>
      </c>
      <c r="M597" s="17">
        <v>15.7</v>
      </c>
      <c r="N597" s="17">
        <v>1899.85</v>
      </c>
      <c r="O597" s="17">
        <v>6361.18</v>
      </c>
      <c r="P597" s="18">
        <v>0.77</v>
      </c>
      <c r="Q597" s="17">
        <v>378.61</v>
      </c>
      <c r="R597" s="15" t="s">
        <v>23</v>
      </c>
    </row>
    <row r="598" spans="1:18" ht="14.25" customHeight="1" x14ac:dyDescent="0.3">
      <c r="A598" s="14">
        <v>45658</v>
      </c>
      <c r="B598" s="15">
        <v>2025</v>
      </c>
      <c r="C598" s="15" t="s">
        <v>18</v>
      </c>
      <c r="D598" s="15" t="s">
        <v>19</v>
      </c>
      <c r="E598" s="15" t="s">
        <v>28</v>
      </c>
      <c r="F598" s="15" t="s">
        <v>32</v>
      </c>
      <c r="G598" s="15" t="s">
        <v>37</v>
      </c>
      <c r="H598" s="16">
        <v>118</v>
      </c>
      <c r="I598" s="17">
        <v>54.09</v>
      </c>
      <c r="J598" s="18">
        <v>2.5000000000000001E-2</v>
      </c>
      <c r="K598" s="17">
        <v>6382.83</v>
      </c>
      <c r="L598" s="17">
        <v>6223.26</v>
      </c>
      <c r="M598" s="17">
        <v>7.85</v>
      </c>
      <c r="N598" s="17">
        <v>925.9</v>
      </c>
      <c r="O598" s="17">
        <v>5297.36</v>
      </c>
      <c r="P598" s="18">
        <v>0.85119999999999996</v>
      </c>
      <c r="Q598" s="17">
        <v>256.3</v>
      </c>
      <c r="R598" s="15" t="s">
        <v>23</v>
      </c>
    </row>
    <row r="599" spans="1:18" ht="14.25" customHeight="1" x14ac:dyDescent="0.3">
      <c r="A599" s="14">
        <v>45658</v>
      </c>
      <c r="B599" s="15">
        <v>2025</v>
      </c>
      <c r="C599" s="15" t="s">
        <v>18</v>
      </c>
      <c r="D599" s="15" t="s">
        <v>24</v>
      </c>
      <c r="E599" s="15" t="s">
        <v>20</v>
      </c>
      <c r="F599" s="15" t="s">
        <v>21</v>
      </c>
      <c r="G599" s="15" t="s">
        <v>37</v>
      </c>
      <c r="H599" s="16">
        <v>231</v>
      </c>
      <c r="I599" s="17">
        <v>54.63</v>
      </c>
      <c r="J599" s="18">
        <v>7.0000000000000007E-2</v>
      </c>
      <c r="K599" s="17">
        <v>12620.08</v>
      </c>
      <c r="L599" s="17">
        <v>11736.68</v>
      </c>
      <c r="M599" s="17">
        <v>7.85</v>
      </c>
      <c r="N599" s="17">
        <v>1812.58</v>
      </c>
      <c r="O599" s="17">
        <v>9924.1</v>
      </c>
      <c r="P599" s="18">
        <v>0.84560000000000002</v>
      </c>
      <c r="Q599" s="17">
        <v>409.22</v>
      </c>
      <c r="R599" s="15" t="s">
        <v>23</v>
      </c>
    </row>
    <row r="600" spans="1:18" ht="14.25" customHeight="1" x14ac:dyDescent="0.3">
      <c r="A600" s="14">
        <v>45658</v>
      </c>
      <c r="B600" s="15">
        <v>2025</v>
      </c>
      <c r="C600" s="15" t="s">
        <v>18</v>
      </c>
      <c r="D600" s="15" t="s">
        <v>27</v>
      </c>
      <c r="E600" s="15" t="s">
        <v>25</v>
      </c>
      <c r="F600" s="15" t="s">
        <v>26</v>
      </c>
      <c r="G600" s="15" t="s">
        <v>37</v>
      </c>
      <c r="H600" s="16">
        <v>214</v>
      </c>
      <c r="I600" s="17">
        <v>55.18</v>
      </c>
      <c r="J600" s="18">
        <v>0.04</v>
      </c>
      <c r="K600" s="17">
        <v>11808.72</v>
      </c>
      <c r="L600" s="17">
        <v>11336.37</v>
      </c>
      <c r="M600" s="17">
        <v>7.85</v>
      </c>
      <c r="N600" s="17">
        <v>1679.18</v>
      </c>
      <c r="O600" s="17">
        <v>9657.19</v>
      </c>
      <c r="P600" s="18">
        <v>0.85189999999999999</v>
      </c>
      <c r="Q600" s="17">
        <v>360.5</v>
      </c>
      <c r="R600" s="15" t="s">
        <v>23</v>
      </c>
    </row>
    <row r="601" spans="1:18" ht="14.25" customHeight="1" x14ac:dyDescent="0.3">
      <c r="A601" s="14">
        <v>45658</v>
      </c>
      <c r="B601" s="15">
        <v>2025</v>
      </c>
      <c r="C601" s="15" t="s">
        <v>18</v>
      </c>
      <c r="D601" s="15" t="s">
        <v>30</v>
      </c>
      <c r="E601" s="15" t="s">
        <v>28</v>
      </c>
      <c r="F601" s="15" t="s">
        <v>29</v>
      </c>
      <c r="G601" s="15" t="s">
        <v>37</v>
      </c>
      <c r="H601" s="16">
        <v>102</v>
      </c>
      <c r="I601" s="17">
        <v>53.54</v>
      </c>
      <c r="J601" s="18">
        <v>2.5000000000000001E-2</v>
      </c>
      <c r="K601" s="17">
        <v>5461.41</v>
      </c>
      <c r="L601" s="17">
        <v>5324.88</v>
      </c>
      <c r="M601" s="17">
        <v>7.85</v>
      </c>
      <c r="N601" s="17">
        <v>800.36</v>
      </c>
      <c r="O601" s="17">
        <v>4524.5200000000004</v>
      </c>
      <c r="P601" s="18">
        <v>0.84970000000000001</v>
      </c>
      <c r="Q601" s="17">
        <v>226.81</v>
      </c>
      <c r="R601" s="15" t="s">
        <v>23</v>
      </c>
    </row>
    <row r="602" spans="1:18" ht="14.25" customHeight="1" x14ac:dyDescent="0.3">
      <c r="A602" s="14">
        <v>45689</v>
      </c>
      <c r="B602" s="15">
        <v>2025</v>
      </c>
      <c r="C602" s="15" t="s">
        <v>38</v>
      </c>
      <c r="D602" s="15" t="s">
        <v>19</v>
      </c>
      <c r="E602" s="15" t="s">
        <v>25</v>
      </c>
      <c r="F602" s="15" t="s">
        <v>26</v>
      </c>
      <c r="G602" s="15" t="s">
        <v>22</v>
      </c>
      <c r="H602" s="16">
        <v>137</v>
      </c>
      <c r="I602" s="17">
        <v>515.94000000000005</v>
      </c>
      <c r="J602" s="18">
        <v>5.5E-2</v>
      </c>
      <c r="K602" s="17">
        <v>70683.66</v>
      </c>
      <c r="L602" s="17">
        <v>66796.06</v>
      </c>
      <c r="M602" s="17">
        <v>405.53</v>
      </c>
      <c r="N602" s="17">
        <v>55557.54</v>
      </c>
      <c r="O602" s="17">
        <v>11238.52</v>
      </c>
      <c r="P602" s="18">
        <v>0.16830000000000001</v>
      </c>
      <c r="Q602" s="17">
        <v>1036.5</v>
      </c>
      <c r="R602" s="15" t="s">
        <v>23</v>
      </c>
    </row>
    <row r="603" spans="1:18" ht="14.25" customHeight="1" x14ac:dyDescent="0.3">
      <c r="A603" s="14">
        <v>45689</v>
      </c>
      <c r="B603" s="15">
        <v>2025</v>
      </c>
      <c r="C603" s="15" t="s">
        <v>38</v>
      </c>
      <c r="D603" s="15" t="s">
        <v>24</v>
      </c>
      <c r="E603" s="15" t="s">
        <v>28</v>
      </c>
      <c r="F603" s="15" t="s">
        <v>29</v>
      </c>
      <c r="G603" s="15" t="s">
        <v>22</v>
      </c>
      <c r="H603" s="16">
        <v>102</v>
      </c>
      <c r="I603" s="17">
        <v>521.12</v>
      </c>
      <c r="J603" s="18">
        <v>0.04</v>
      </c>
      <c r="K603" s="17">
        <v>53154.5</v>
      </c>
      <c r="L603" s="17">
        <v>51028.32</v>
      </c>
      <c r="M603" s="17">
        <v>405.53</v>
      </c>
      <c r="N603" s="17">
        <v>41364.01</v>
      </c>
      <c r="O603" s="17">
        <v>9664.31</v>
      </c>
      <c r="P603" s="18">
        <v>0.18940000000000001</v>
      </c>
      <c r="Q603" s="17">
        <v>973.31</v>
      </c>
      <c r="R603" s="15" t="s">
        <v>23</v>
      </c>
    </row>
    <row r="604" spans="1:18" ht="14.25" customHeight="1" x14ac:dyDescent="0.3">
      <c r="A604" s="14">
        <v>45689</v>
      </c>
      <c r="B604" s="15">
        <v>2025</v>
      </c>
      <c r="C604" s="15" t="s">
        <v>38</v>
      </c>
      <c r="D604" s="15" t="s">
        <v>27</v>
      </c>
      <c r="E604" s="15" t="s">
        <v>31</v>
      </c>
      <c r="F604" s="15" t="s">
        <v>32</v>
      </c>
      <c r="G604" s="15" t="s">
        <v>22</v>
      </c>
      <c r="H604" s="16">
        <v>208</v>
      </c>
      <c r="I604" s="17">
        <v>526.30999999999995</v>
      </c>
      <c r="J604" s="18">
        <v>0.12</v>
      </c>
      <c r="K604" s="17">
        <v>109471.63</v>
      </c>
      <c r="L604" s="17">
        <v>96335.03</v>
      </c>
      <c r="M604" s="17">
        <v>405.53</v>
      </c>
      <c r="N604" s="17">
        <v>84350.14</v>
      </c>
      <c r="O604" s="17">
        <v>11984.9</v>
      </c>
      <c r="P604" s="18">
        <v>0.1244</v>
      </c>
      <c r="Q604" s="17">
        <v>875.41</v>
      </c>
      <c r="R604" s="15" t="s">
        <v>23</v>
      </c>
    </row>
    <row r="605" spans="1:18" ht="14.25" customHeight="1" x14ac:dyDescent="0.3">
      <c r="A605" s="14">
        <v>45689</v>
      </c>
      <c r="B605" s="15">
        <v>2025</v>
      </c>
      <c r="C605" s="15" t="s">
        <v>38</v>
      </c>
      <c r="D605" s="15" t="s">
        <v>30</v>
      </c>
      <c r="E605" s="15" t="s">
        <v>20</v>
      </c>
      <c r="F605" s="15" t="s">
        <v>21</v>
      </c>
      <c r="G605" s="15" t="s">
        <v>22</v>
      </c>
      <c r="H605" s="16">
        <v>123</v>
      </c>
      <c r="I605" s="17">
        <v>510.76</v>
      </c>
      <c r="J605" s="18">
        <v>8.5000000000000006E-2</v>
      </c>
      <c r="K605" s="17">
        <v>62822.95</v>
      </c>
      <c r="L605" s="17">
        <v>57483</v>
      </c>
      <c r="M605" s="17">
        <v>405.53</v>
      </c>
      <c r="N605" s="17">
        <v>49880.13</v>
      </c>
      <c r="O605" s="17">
        <v>7602.87</v>
      </c>
      <c r="P605" s="18">
        <v>0.1323</v>
      </c>
      <c r="Q605" s="17">
        <v>1084.19</v>
      </c>
      <c r="R605" s="15" t="s">
        <v>23</v>
      </c>
    </row>
    <row r="606" spans="1:18" ht="14.25" customHeight="1" x14ac:dyDescent="0.3">
      <c r="A606" s="14">
        <v>45689</v>
      </c>
      <c r="B606" s="15">
        <v>2025</v>
      </c>
      <c r="C606" s="15" t="s">
        <v>38</v>
      </c>
      <c r="D606" s="15" t="s">
        <v>19</v>
      </c>
      <c r="E606" s="15" t="s">
        <v>28</v>
      </c>
      <c r="F606" s="15" t="s">
        <v>29</v>
      </c>
      <c r="G606" s="15" t="s">
        <v>33</v>
      </c>
      <c r="H606" s="16">
        <v>59</v>
      </c>
      <c r="I606" s="17">
        <v>732.3</v>
      </c>
      <c r="J606" s="18">
        <v>0.04</v>
      </c>
      <c r="K606" s="17">
        <v>43205.599999999999</v>
      </c>
      <c r="L606" s="17">
        <v>41477.379999999997</v>
      </c>
      <c r="M606" s="17">
        <v>601.76</v>
      </c>
      <c r="N606" s="17">
        <v>35503.800000000003</v>
      </c>
      <c r="O606" s="17">
        <v>5973.57</v>
      </c>
      <c r="P606" s="18">
        <v>0.14399999999999999</v>
      </c>
      <c r="Q606" s="17">
        <v>900.24</v>
      </c>
      <c r="R606" s="15" t="s">
        <v>23</v>
      </c>
    </row>
    <row r="607" spans="1:18" ht="14.25" customHeight="1" x14ac:dyDescent="0.3">
      <c r="A607" s="14">
        <v>45689</v>
      </c>
      <c r="B607" s="15">
        <v>2025</v>
      </c>
      <c r="C607" s="15" t="s">
        <v>38</v>
      </c>
      <c r="D607" s="15" t="s">
        <v>24</v>
      </c>
      <c r="E607" s="15" t="s">
        <v>31</v>
      </c>
      <c r="F607" s="15" t="s">
        <v>32</v>
      </c>
      <c r="G607" s="15" t="s">
        <v>33</v>
      </c>
      <c r="H607" s="16">
        <v>123</v>
      </c>
      <c r="I607" s="17">
        <v>739.66</v>
      </c>
      <c r="J607" s="18">
        <v>0.12</v>
      </c>
      <c r="K607" s="17">
        <v>90978.19</v>
      </c>
      <c r="L607" s="17">
        <v>80060.800000000003</v>
      </c>
      <c r="M607" s="17">
        <v>601.76</v>
      </c>
      <c r="N607" s="17">
        <v>74016.399999999994</v>
      </c>
      <c r="O607" s="17">
        <v>6044.4</v>
      </c>
      <c r="P607" s="18">
        <v>7.5499999999999998E-2</v>
      </c>
      <c r="Q607" s="17">
        <v>857.84</v>
      </c>
      <c r="R607" s="15" t="s">
        <v>23</v>
      </c>
    </row>
    <row r="608" spans="1:18" ht="14.25" customHeight="1" x14ac:dyDescent="0.3">
      <c r="A608" s="14">
        <v>45689</v>
      </c>
      <c r="B608" s="15">
        <v>2025</v>
      </c>
      <c r="C608" s="15" t="s">
        <v>38</v>
      </c>
      <c r="D608" s="15" t="s">
        <v>27</v>
      </c>
      <c r="E608" s="15" t="s">
        <v>20</v>
      </c>
      <c r="F608" s="15" t="s">
        <v>21</v>
      </c>
      <c r="G608" s="15" t="s">
        <v>33</v>
      </c>
      <c r="H608" s="16">
        <v>133</v>
      </c>
      <c r="I608" s="17">
        <v>747.02</v>
      </c>
      <c r="J608" s="18">
        <v>8.5000000000000006E-2</v>
      </c>
      <c r="K608" s="17">
        <v>99353.89</v>
      </c>
      <c r="L608" s="17">
        <v>90908.81</v>
      </c>
      <c r="M608" s="17">
        <v>601.76</v>
      </c>
      <c r="N608" s="17">
        <v>80033.990000000005</v>
      </c>
      <c r="O608" s="17">
        <v>10874.82</v>
      </c>
      <c r="P608" s="18">
        <v>0.1196</v>
      </c>
      <c r="Q608" s="17">
        <v>1381.69</v>
      </c>
      <c r="R608" s="15" t="s">
        <v>23</v>
      </c>
    </row>
    <row r="609" spans="1:18" ht="14.25" customHeight="1" x14ac:dyDescent="0.3">
      <c r="A609" s="14">
        <v>45689</v>
      </c>
      <c r="B609" s="15">
        <v>2025</v>
      </c>
      <c r="C609" s="15" t="s">
        <v>38</v>
      </c>
      <c r="D609" s="15" t="s">
        <v>30</v>
      </c>
      <c r="E609" s="15" t="s">
        <v>25</v>
      </c>
      <c r="F609" s="15" t="s">
        <v>26</v>
      </c>
      <c r="G609" s="15" t="s">
        <v>33</v>
      </c>
      <c r="H609" s="16">
        <v>70</v>
      </c>
      <c r="I609" s="17">
        <v>724.94</v>
      </c>
      <c r="J609" s="18">
        <v>5.5E-2</v>
      </c>
      <c r="K609" s="17">
        <v>50745.57</v>
      </c>
      <c r="L609" s="17">
        <v>47954.559999999998</v>
      </c>
      <c r="M609" s="17">
        <v>601.76</v>
      </c>
      <c r="N609" s="17">
        <v>42123.15</v>
      </c>
      <c r="O609" s="17">
        <v>5831.4</v>
      </c>
      <c r="P609" s="18">
        <v>0.1216</v>
      </c>
      <c r="Q609" s="17">
        <v>955</v>
      </c>
      <c r="R609" s="15" t="s">
        <v>23</v>
      </c>
    </row>
    <row r="610" spans="1:18" ht="14.25" customHeight="1" x14ac:dyDescent="0.3">
      <c r="A610" s="14">
        <v>45689</v>
      </c>
      <c r="B610" s="15">
        <v>2025</v>
      </c>
      <c r="C610" s="15" t="s">
        <v>38</v>
      </c>
      <c r="D610" s="15" t="s">
        <v>19</v>
      </c>
      <c r="E610" s="15" t="s">
        <v>20</v>
      </c>
      <c r="F610" s="15" t="s">
        <v>26</v>
      </c>
      <c r="G610" s="15" t="s">
        <v>34</v>
      </c>
      <c r="H610" s="16">
        <v>228</v>
      </c>
      <c r="I610" s="17">
        <v>233.01</v>
      </c>
      <c r="J610" s="18">
        <v>8.5000000000000006E-2</v>
      </c>
      <c r="K610" s="17">
        <v>53125.49</v>
      </c>
      <c r="L610" s="17">
        <v>48609.83</v>
      </c>
      <c r="M610" s="17">
        <v>165.7</v>
      </c>
      <c r="N610" s="17">
        <v>37780.019999999997</v>
      </c>
      <c r="O610" s="17">
        <v>10829.81</v>
      </c>
      <c r="P610" s="18">
        <v>0.2228</v>
      </c>
      <c r="Q610" s="17">
        <v>860.18</v>
      </c>
      <c r="R610" s="15" t="s">
        <v>23</v>
      </c>
    </row>
    <row r="611" spans="1:18" ht="14.25" customHeight="1" x14ac:dyDescent="0.3">
      <c r="A611" s="14">
        <v>45689</v>
      </c>
      <c r="B611" s="15">
        <v>2025</v>
      </c>
      <c r="C611" s="15" t="s">
        <v>38</v>
      </c>
      <c r="D611" s="15" t="s">
        <v>24</v>
      </c>
      <c r="E611" s="15" t="s">
        <v>25</v>
      </c>
      <c r="F611" s="15" t="s">
        <v>21</v>
      </c>
      <c r="G611" s="15" t="s">
        <v>34</v>
      </c>
      <c r="H611" s="16">
        <v>189</v>
      </c>
      <c r="I611" s="17">
        <v>235.34</v>
      </c>
      <c r="J611" s="18">
        <v>5.5E-2</v>
      </c>
      <c r="K611" s="17">
        <v>44479.99</v>
      </c>
      <c r="L611" s="17">
        <v>42033.59</v>
      </c>
      <c r="M611" s="17">
        <v>165.7</v>
      </c>
      <c r="N611" s="17">
        <v>31317.65</v>
      </c>
      <c r="O611" s="17">
        <v>10715.94</v>
      </c>
      <c r="P611" s="18">
        <v>0.25490000000000002</v>
      </c>
      <c r="Q611" s="17">
        <v>784.78</v>
      </c>
      <c r="R611" s="15" t="s">
        <v>23</v>
      </c>
    </row>
    <row r="612" spans="1:18" ht="14.25" customHeight="1" x14ac:dyDescent="0.3">
      <c r="A612" s="14">
        <v>45689</v>
      </c>
      <c r="B612" s="15">
        <v>2025</v>
      </c>
      <c r="C612" s="15" t="s">
        <v>38</v>
      </c>
      <c r="D612" s="15" t="s">
        <v>27</v>
      </c>
      <c r="E612" s="15" t="s">
        <v>31</v>
      </c>
      <c r="F612" s="15" t="s">
        <v>32</v>
      </c>
      <c r="G612" s="15" t="s">
        <v>34</v>
      </c>
      <c r="H612" s="16">
        <v>292</v>
      </c>
      <c r="I612" s="17">
        <v>237.69</v>
      </c>
      <c r="J612" s="18">
        <v>0.12</v>
      </c>
      <c r="K612" s="17">
        <v>69405.22</v>
      </c>
      <c r="L612" s="17">
        <v>61076.59</v>
      </c>
      <c r="M612" s="17">
        <v>165.7</v>
      </c>
      <c r="N612" s="17">
        <v>48384.94</v>
      </c>
      <c r="O612" s="17">
        <v>12691.65</v>
      </c>
      <c r="P612" s="18">
        <v>0.20780000000000001</v>
      </c>
      <c r="Q612" s="17">
        <v>638.54999999999995</v>
      </c>
      <c r="R612" s="15" t="s">
        <v>23</v>
      </c>
    </row>
    <row r="613" spans="1:18" ht="14.25" customHeight="1" x14ac:dyDescent="0.3">
      <c r="A613" s="14">
        <v>45689</v>
      </c>
      <c r="B613" s="15">
        <v>2025</v>
      </c>
      <c r="C613" s="15" t="s">
        <v>38</v>
      </c>
      <c r="D613" s="15" t="s">
        <v>30</v>
      </c>
      <c r="E613" s="15" t="s">
        <v>20</v>
      </c>
      <c r="F613" s="15" t="s">
        <v>21</v>
      </c>
      <c r="G613" s="15" t="s">
        <v>34</v>
      </c>
      <c r="H613" s="16">
        <v>174</v>
      </c>
      <c r="I613" s="17">
        <v>230.66</v>
      </c>
      <c r="J613" s="18">
        <v>8.5000000000000006E-2</v>
      </c>
      <c r="K613" s="17">
        <v>40135.07</v>
      </c>
      <c r="L613" s="17">
        <v>36723.589999999997</v>
      </c>
      <c r="M613" s="17">
        <v>165.7</v>
      </c>
      <c r="N613" s="17">
        <v>28832.12</v>
      </c>
      <c r="O613" s="17">
        <v>7891.46</v>
      </c>
      <c r="P613" s="18">
        <v>0.21490000000000001</v>
      </c>
      <c r="Q613" s="17">
        <v>753.3</v>
      </c>
      <c r="R613" s="15" t="s">
        <v>23</v>
      </c>
    </row>
    <row r="614" spans="1:18" ht="14.25" customHeight="1" x14ac:dyDescent="0.3">
      <c r="A614" s="14">
        <v>45689</v>
      </c>
      <c r="B614" s="15">
        <v>2025</v>
      </c>
      <c r="C614" s="15" t="s">
        <v>38</v>
      </c>
      <c r="D614" s="15" t="s">
        <v>19</v>
      </c>
      <c r="E614" s="15" t="s">
        <v>25</v>
      </c>
      <c r="F614" s="15" t="s">
        <v>21</v>
      </c>
      <c r="G614" s="15" t="s">
        <v>35</v>
      </c>
      <c r="H614" s="16">
        <v>671</v>
      </c>
      <c r="I614" s="17">
        <v>11.65</v>
      </c>
      <c r="J614" s="18">
        <v>5.5E-2</v>
      </c>
      <c r="K614" s="17">
        <v>7814.97</v>
      </c>
      <c r="L614" s="17">
        <v>7385.14</v>
      </c>
      <c r="M614" s="17">
        <v>6.11</v>
      </c>
      <c r="N614" s="17">
        <v>4096.8599999999997</v>
      </c>
      <c r="O614" s="17">
        <v>3288.29</v>
      </c>
      <c r="P614" s="18">
        <v>0.44529999999999997</v>
      </c>
      <c r="Q614" s="17">
        <v>352.57</v>
      </c>
      <c r="R614" s="15" t="s">
        <v>23</v>
      </c>
    </row>
    <row r="615" spans="1:18" ht="14.25" customHeight="1" x14ac:dyDescent="0.3">
      <c r="A615" s="14">
        <v>45689</v>
      </c>
      <c r="B615" s="15">
        <v>2025</v>
      </c>
      <c r="C615" s="15" t="s">
        <v>38</v>
      </c>
      <c r="D615" s="15" t="s">
        <v>24</v>
      </c>
      <c r="E615" s="15" t="s">
        <v>31</v>
      </c>
      <c r="F615" s="15" t="s">
        <v>32</v>
      </c>
      <c r="G615" s="15" t="s">
        <v>35</v>
      </c>
      <c r="H615" s="16">
        <v>989</v>
      </c>
      <c r="I615" s="17">
        <v>11.77</v>
      </c>
      <c r="J615" s="18">
        <v>0.12</v>
      </c>
      <c r="K615" s="17">
        <v>11636.57</v>
      </c>
      <c r="L615" s="17">
        <v>10240.19</v>
      </c>
      <c r="M615" s="17">
        <v>6.11</v>
      </c>
      <c r="N615" s="17">
        <v>6038.44</v>
      </c>
      <c r="O615" s="17">
        <v>4201.75</v>
      </c>
      <c r="P615" s="18">
        <v>0.4103</v>
      </c>
      <c r="Q615" s="17">
        <v>291.66000000000003</v>
      </c>
      <c r="R615" s="15" t="s">
        <v>23</v>
      </c>
    </row>
    <row r="616" spans="1:18" ht="14.25" customHeight="1" x14ac:dyDescent="0.3">
      <c r="A616" s="14">
        <v>45689</v>
      </c>
      <c r="B616" s="15">
        <v>2025</v>
      </c>
      <c r="C616" s="15" t="s">
        <v>38</v>
      </c>
      <c r="D616" s="15" t="s">
        <v>27</v>
      </c>
      <c r="E616" s="15" t="s">
        <v>20</v>
      </c>
      <c r="F616" s="15" t="s">
        <v>21</v>
      </c>
      <c r="G616" s="15" t="s">
        <v>35</v>
      </c>
      <c r="H616" s="16">
        <v>937</v>
      </c>
      <c r="I616" s="17">
        <v>11.89</v>
      </c>
      <c r="J616" s="18">
        <v>8.5000000000000006E-2</v>
      </c>
      <c r="K616" s="17">
        <v>11136.48</v>
      </c>
      <c r="L616" s="17">
        <v>10189.879999999999</v>
      </c>
      <c r="M616" s="17">
        <v>6.11</v>
      </c>
      <c r="N616" s="17">
        <v>5720.95</v>
      </c>
      <c r="O616" s="17">
        <v>4468.93</v>
      </c>
      <c r="P616" s="18">
        <v>0.43859999999999999</v>
      </c>
      <c r="Q616" s="17">
        <v>482</v>
      </c>
      <c r="R616" s="15" t="s">
        <v>23</v>
      </c>
    </row>
    <row r="617" spans="1:18" ht="14.25" customHeight="1" x14ac:dyDescent="0.3">
      <c r="A617" s="14">
        <v>45689</v>
      </c>
      <c r="B617" s="15">
        <v>2025</v>
      </c>
      <c r="C617" s="15" t="s">
        <v>38</v>
      </c>
      <c r="D617" s="15" t="s">
        <v>30</v>
      </c>
      <c r="E617" s="15" t="s">
        <v>25</v>
      </c>
      <c r="F617" s="15" t="s">
        <v>26</v>
      </c>
      <c r="G617" s="15" t="s">
        <v>35</v>
      </c>
      <c r="H617" s="16">
        <v>511</v>
      </c>
      <c r="I617" s="17">
        <v>11.54</v>
      </c>
      <c r="J617" s="18">
        <v>5.5E-2</v>
      </c>
      <c r="K617" s="17">
        <v>5894.61</v>
      </c>
      <c r="L617" s="17">
        <v>5570.41</v>
      </c>
      <c r="M617" s="17">
        <v>6.11</v>
      </c>
      <c r="N617" s="17">
        <v>3119.96</v>
      </c>
      <c r="O617" s="17">
        <v>2450.4499999999998</v>
      </c>
      <c r="P617" s="18">
        <v>0.43990000000000001</v>
      </c>
      <c r="Q617" s="17">
        <v>313.77</v>
      </c>
      <c r="R617" s="15" t="s">
        <v>23</v>
      </c>
    </row>
    <row r="618" spans="1:18" ht="14.25" customHeight="1" x14ac:dyDescent="0.3">
      <c r="A618" s="14">
        <v>45689</v>
      </c>
      <c r="B618" s="15">
        <v>2025</v>
      </c>
      <c r="C618" s="15" t="s">
        <v>38</v>
      </c>
      <c r="D618" s="15" t="s">
        <v>19</v>
      </c>
      <c r="E618" s="15" t="s">
        <v>31</v>
      </c>
      <c r="F618" s="15" t="s">
        <v>32</v>
      </c>
      <c r="G618" s="15" t="s">
        <v>36</v>
      </c>
      <c r="H618" s="16">
        <v>303</v>
      </c>
      <c r="I618" s="17">
        <v>70.73</v>
      </c>
      <c r="J618" s="18">
        <v>0.105</v>
      </c>
      <c r="K618" s="17">
        <v>21431.54</v>
      </c>
      <c r="L618" s="17">
        <v>19181.23</v>
      </c>
      <c r="M618" s="17">
        <v>15.7</v>
      </c>
      <c r="N618" s="17">
        <v>4757.4799999999996</v>
      </c>
      <c r="O618" s="17">
        <v>14423.75</v>
      </c>
      <c r="P618" s="18">
        <v>0.752</v>
      </c>
      <c r="Q618" s="17">
        <v>393.27</v>
      </c>
      <c r="R618" s="15" t="s">
        <v>23</v>
      </c>
    </row>
    <row r="619" spans="1:18" ht="14.25" customHeight="1" x14ac:dyDescent="0.3">
      <c r="A619" s="14">
        <v>45689</v>
      </c>
      <c r="B619" s="15">
        <v>2025</v>
      </c>
      <c r="C619" s="15" t="s">
        <v>38</v>
      </c>
      <c r="D619" s="15" t="s">
        <v>24</v>
      </c>
      <c r="E619" s="15" t="s">
        <v>20</v>
      </c>
      <c r="F619" s="15" t="s">
        <v>21</v>
      </c>
      <c r="G619" s="15" t="s">
        <v>36</v>
      </c>
      <c r="H619" s="16">
        <v>300</v>
      </c>
      <c r="I619" s="17">
        <v>71.45</v>
      </c>
      <c r="J619" s="18">
        <v>7.0000000000000007E-2</v>
      </c>
      <c r="K619" s="17">
        <v>21434</v>
      </c>
      <c r="L619" s="17">
        <v>19933.62</v>
      </c>
      <c r="M619" s="17">
        <v>15.7</v>
      </c>
      <c r="N619" s="17">
        <v>4710.38</v>
      </c>
      <c r="O619" s="17">
        <v>15223.24</v>
      </c>
      <c r="P619" s="18">
        <v>0.76370000000000005</v>
      </c>
      <c r="Q619" s="17">
        <v>631.20000000000005</v>
      </c>
      <c r="R619" s="15" t="s">
        <v>23</v>
      </c>
    </row>
    <row r="620" spans="1:18" ht="14.25" customHeight="1" x14ac:dyDescent="0.3">
      <c r="A620" s="14">
        <v>45689</v>
      </c>
      <c r="B620" s="15">
        <v>2025</v>
      </c>
      <c r="C620" s="15" t="s">
        <v>38</v>
      </c>
      <c r="D620" s="15" t="s">
        <v>27</v>
      </c>
      <c r="E620" s="15" t="s">
        <v>28</v>
      </c>
      <c r="F620" s="15" t="s">
        <v>32</v>
      </c>
      <c r="G620" s="15" t="s">
        <v>36</v>
      </c>
      <c r="H620" s="16">
        <v>175</v>
      </c>
      <c r="I620" s="17">
        <v>72.150000000000006</v>
      </c>
      <c r="J620" s="18">
        <v>2.5000000000000001E-2</v>
      </c>
      <c r="K620" s="17">
        <v>12626.99</v>
      </c>
      <c r="L620" s="17">
        <v>12311.31</v>
      </c>
      <c r="M620" s="17">
        <v>15.7</v>
      </c>
      <c r="N620" s="17">
        <v>2747.72</v>
      </c>
      <c r="O620" s="17">
        <v>9563.59</v>
      </c>
      <c r="P620" s="18">
        <v>0.77680000000000005</v>
      </c>
      <c r="Q620" s="17">
        <v>482.82</v>
      </c>
      <c r="R620" s="15" t="s">
        <v>23</v>
      </c>
    </row>
    <row r="621" spans="1:18" ht="14.25" customHeight="1" x14ac:dyDescent="0.3">
      <c r="A621" s="14">
        <v>45689</v>
      </c>
      <c r="B621" s="15">
        <v>2025</v>
      </c>
      <c r="C621" s="15" t="s">
        <v>38</v>
      </c>
      <c r="D621" s="15" t="s">
        <v>30</v>
      </c>
      <c r="E621" s="15" t="s">
        <v>31</v>
      </c>
      <c r="F621" s="15" t="s">
        <v>32</v>
      </c>
      <c r="G621" s="15" t="s">
        <v>36</v>
      </c>
      <c r="H621" s="16">
        <v>228</v>
      </c>
      <c r="I621" s="17">
        <v>70.02</v>
      </c>
      <c r="J621" s="18">
        <v>0.105</v>
      </c>
      <c r="K621" s="17">
        <v>15965.38</v>
      </c>
      <c r="L621" s="17">
        <v>14289.01</v>
      </c>
      <c r="M621" s="17">
        <v>15.7</v>
      </c>
      <c r="N621" s="17">
        <v>3579.89</v>
      </c>
      <c r="O621" s="17">
        <v>10709.13</v>
      </c>
      <c r="P621" s="18">
        <v>0.74950000000000006</v>
      </c>
      <c r="Q621" s="17">
        <v>330.22</v>
      </c>
      <c r="R621" s="15" t="s">
        <v>23</v>
      </c>
    </row>
    <row r="622" spans="1:18" ht="14.25" customHeight="1" x14ac:dyDescent="0.3">
      <c r="A622" s="14">
        <v>45689</v>
      </c>
      <c r="B622" s="15">
        <v>2025</v>
      </c>
      <c r="C622" s="15" t="s">
        <v>38</v>
      </c>
      <c r="D622" s="15" t="s">
        <v>19</v>
      </c>
      <c r="E622" s="15" t="s">
        <v>20</v>
      </c>
      <c r="F622" s="15" t="s">
        <v>21</v>
      </c>
      <c r="G622" s="15" t="s">
        <v>37</v>
      </c>
      <c r="H622" s="16">
        <v>209</v>
      </c>
      <c r="I622" s="17">
        <v>54.09</v>
      </c>
      <c r="J622" s="18">
        <v>7.0000000000000007E-2</v>
      </c>
      <c r="K622" s="17">
        <v>11305.19</v>
      </c>
      <c r="L622" s="17">
        <v>10513.82</v>
      </c>
      <c r="M622" s="17">
        <v>7.85</v>
      </c>
      <c r="N622" s="17">
        <v>1639.95</v>
      </c>
      <c r="O622" s="17">
        <v>8873.8700000000008</v>
      </c>
      <c r="P622" s="18">
        <v>0.84399999999999997</v>
      </c>
      <c r="Q622" s="17">
        <v>370.21</v>
      </c>
      <c r="R622" s="15" t="s">
        <v>23</v>
      </c>
    </row>
    <row r="623" spans="1:18" ht="14.25" customHeight="1" x14ac:dyDescent="0.3">
      <c r="A623" s="14">
        <v>45689</v>
      </c>
      <c r="B623" s="15">
        <v>2025</v>
      </c>
      <c r="C623" s="15" t="s">
        <v>38</v>
      </c>
      <c r="D623" s="15" t="s">
        <v>24</v>
      </c>
      <c r="E623" s="15" t="s">
        <v>25</v>
      </c>
      <c r="F623" s="15" t="s">
        <v>26</v>
      </c>
      <c r="G623" s="15" t="s">
        <v>37</v>
      </c>
      <c r="H623" s="16">
        <v>194</v>
      </c>
      <c r="I623" s="17">
        <v>54.63</v>
      </c>
      <c r="J623" s="18">
        <v>0.04</v>
      </c>
      <c r="K623" s="17">
        <v>10598.69</v>
      </c>
      <c r="L623" s="17">
        <v>10174.74</v>
      </c>
      <c r="M623" s="17">
        <v>7.85</v>
      </c>
      <c r="N623" s="17">
        <v>1522.25</v>
      </c>
      <c r="O623" s="17">
        <v>8652.49</v>
      </c>
      <c r="P623" s="18">
        <v>0.85040000000000004</v>
      </c>
      <c r="Q623" s="17">
        <v>337.33</v>
      </c>
      <c r="R623" s="15" t="s">
        <v>23</v>
      </c>
    </row>
    <row r="624" spans="1:18" ht="14.25" customHeight="1" x14ac:dyDescent="0.3">
      <c r="A624" s="14">
        <v>45689</v>
      </c>
      <c r="B624" s="15">
        <v>2025</v>
      </c>
      <c r="C624" s="15" t="s">
        <v>38</v>
      </c>
      <c r="D624" s="15" t="s">
        <v>27</v>
      </c>
      <c r="E624" s="15" t="s">
        <v>28</v>
      </c>
      <c r="F624" s="15" t="s">
        <v>29</v>
      </c>
      <c r="G624" s="15" t="s">
        <v>37</v>
      </c>
      <c r="H624" s="16">
        <v>143</v>
      </c>
      <c r="I624" s="17">
        <v>55.18</v>
      </c>
      <c r="J624" s="18">
        <v>2.5000000000000001E-2</v>
      </c>
      <c r="K624" s="17">
        <v>7890.88</v>
      </c>
      <c r="L624" s="17">
        <v>7693.6</v>
      </c>
      <c r="M624" s="17">
        <v>7.85</v>
      </c>
      <c r="N624" s="17">
        <v>1122.07</v>
      </c>
      <c r="O624" s="17">
        <v>6571.53</v>
      </c>
      <c r="P624" s="18">
        <v>0.85419999999999996</v>
      </c>
      <c r="Q624" s="17">
        <v>306.42</v>
      </c>
      <c r="R624" s="15" t="s">
        <v>23</v>
      </c>
    </row>
    <row r="625" spans="1:18" ht="14.25" customHeight="1" x14ac:dyDescent="0.3">
      <c r="A625" s="14">
        <v>45689</v>
      </c>
      <c r="B625" s="15">
        <v>2025</v>
      </c>
      <c r="C625" s="15" t="s">
        <v>38</v>
      </c>
      <c r="D625" s="15" t="s">
        <v>30</v>
      </c>
      <c r="E625" s="15" t="s">
        <v>20</v>
      </c>
      <c r="F625" s="15" t="s">
        <v>26</v>
      </c>
      <c r="G625" s="15" t="s">
        <v>37</v>
      </c>
      <c r="H625" s="16">
        <v>164</v>
      </c>
      <c r="I625" s="17">
        <v>53.54</v>
      </c>
      <c r="J625" s="18">
        <v>7.0000000000000007E-2</v>
      </c>
      <c r="K625" s="17">
        <v>8781.09</v>
      </c>
      <c r="L625" s="17">
        <v>8166.41</v>
      </c>
      <c r="M625" s="17">
        <v>7.85</v>
      </c>
      <c r="N625" s="17">
        <v>1286.8499999999999</v>
      </c>
      <c r="O625" s="17">
        <v>6879.56</v>
      </c>
      <c r="P625" s="18">
        <v>0.84240000000000004</v>
      </c>
      <c r="Q625" s="17">
        <v>335.08</v>
      </c>
      <c r="R625" s="15" t="s">
        <v>23</v>
      </c>
    </row>
    <row r="626" spans="1:18" ht="14.25" customHeight="1" x14ac:dyDescent="0.3">
      <c r="A626" s="14">
        <v>45717</v>
      </c>
      <c r="B626" s="15">
        <v>2025</v>
      </c>
      <c r="C626" s="15" t="s">
        <v>39</v>
      </c>
      <c r="D626" s="15" t="s">
        <v>19</v>
      </c>
      <c r="E626" s="15" t="s">
        <v>28</v>
      </c>
      <c r="F626" s="15" t="s">
        <v>29</v>
      </c>
      <c r="G626" s="15" t="s">
        <v>22</v>
      </c>
      <c r="H626" s="16">
        <v>134</v>
      </c>
      <c r="I626" s="17">
        <v>515.94000000000005</v>
      </c>
      <c r="J626" s="18">
        <v>6.5000000000000002E-2</v>
      </c>
      <c r="K626" s="17">
        <v>69135.839999999997</v>
      </c>
      <c r="L626" s="17">
        <v>64642.01</v>
      </c>
      <c r="M626" s="17">
        <v>405.53</v>
      </c>
      <c r="N626" s="17">
        <v>54340.95</v>
      </c>
      <c r="O626" s="17">
        <v>10301.049999999999</v>
      </c>
      <c r="P626" s="18">
        <v>0.15939999999999999</v>
      </c>
      <c r="Q626" s="17">
        <v>1334.95</v>
      </c>
      <c r="R626" s="15" t="s">
        <v>40</v>
      </c>
    </row>
    <row r="627" spans="1:18" ht="14.25" customHeight="1" x14ac:dyDescent="0.3">
      <c r="A627" s="14">
        <v>45717</v>
      </c>
      <c r="B627" s="15">
        <v>2025</v>
      </c>
      <c r="C627" s="15" t="s">
        <v>39</v>
      </c>
      <c r="D627" s="15" t="s">
        <v>24</v>
      </c>
      <c r="E627" s="15" t="s">
        <v>31</v>
      </c>
      <c r="F627" s="15" t="s">
        <v>32</v>
      </c>
      <c r="G627" s="15" t="s">
        <v>22</v>
      </c>
      <c r="H627" s="16">
        <v>271</v>
      </c>
      <c r="I627" s="17">
        <v>521.12</v>
      </c>
      <c r="J627" s="18">
        <v>0.14499999999999999</v>
      </c>
      <c r="K627" s="17">
        <v>141224.20000000001</v>
      </c>
      <c r="L627" s="17">
        <v>120746.69</v>
      </c>
      <c r="M627" s="17">
        <v>405.53</v>
      </c>
      <c r="N627" s="17">
        <v>109898.49</v>
      </c>
      <c r="O627" s="17">
        <v>10848.2</v>
      </c>
      <c r="P627" s="18">
        <v>8.9800000000000005E-2</v>
      </c>
      <c r="Q627" s="17">
        <v>1256.78</v>
      </c>
      <c r="R627" s="15" t="s">
        <v>40</v>
      </c>
    </row>
    <row r="628" spans="1:18" ht="14.25" customHeight="1" x14ac:dyDescent="0.3">
      <c r="A628" s="14">
        <v>45717</v>
      </c>
      <c r="B628" s="15">
        <v>2025</v>
      </c>
      <c r="C628" s="15" t="s">
        <v>39</v>
      </c>
      <c r="D628" s="15" t="s">
        <v>27</v>
      </c>
      <c r="E628" s="15" t="s">
        <v>20</v>
      </c>
      <c r="F628" s="15" t="s">
        <v>21</v>
      </c>
      <c r="G628" s="15" t="s">
        <v>22</v>
      </c>
      <c r="H628" s="16">
        <v>246</v>
      </c>
      <c r="I628" s="17">
        <v>526.30999999999995</v>
      </c>
      <c r="J628" s="18">
        <v>0.11</v>
      </c>
      <c r="K628" s="17">
        <v>129471.25</v>
      </c>
      <c r="L628" s="17">
        <v>115229.41</v>
      </c>
      <c r="M628" s="17">
        <v>405.53</v>
      </c>
      <c r="N628" s="17">
        <v>99760.26</v>
      </c>
      <c r="O628" s="17">
        <v>15469.16</v>
      </c>
      <c r="P628" s="18">
        <v>0.13420000000000001</v>
      </c>
      <c r="Q628" s="17">
        <v>2104.71</v>
      </c>
      <c r="R628" s="15" t="s">
        <v>40</v>
      </c>
    </row>
    <row r="629" spans="1:18" ht="14.25" customHeight="1" x14ac:dyDescent="0.3">
      <c r="A629" s="14">
        <v>45717</v>
      </c>
      <c r="B629" s="15">
        <v>2025</v>
      </c>
      <c r="C629" s="15" t="s">
        <v>39</v>
      </c>
      <c r="D629" s="15" t="s">
        <v>30</v>
      </c>
      <c r="E629" s="15" t="s">
        <v>25</v>
      </c>
      <c r="F629" s="15" t="s">
        <v>26</v>
      </c>
      <c r="G629" s="15" t="s">
        <v>22</v>
      </c>
      <c r="H629" s="16">
        <v>138</v>
      </c>
      <c r="I629" s="17">
        <v>510.76</v>
      </c>
      <c r="J629" s="18">
        <v>0.08</v>
      </c>
      <c r="K629" s="17">
        <v>70484.289999999994</v>
      </c>
      <c r="L629" s="17">
        <v>64845.54</v>
      </c>
      <c r="M629" s="17">
        <v>405.53</v>
      </c>
      <c r="N629" s="17">
        <v>55963.07</v>
      </c>
      <c r="O629" s="17">
        <v>8882.4699999999993</v>
      </c>
      <c r="P629" s="18">
        <v>0.13700000000000001</v>
      </c>
      <c r="Q629" s="17">
        <v>1363.96</v>
      </c>
      <c r="R629" s="15" t="s">
        <v>40</v>
      </c>
    </row>
    <row r="630" spans="1:18" ht="14.25" customHeight="1" x14ac:dyDescent="0.3">
      <c r="A630" s="14">
        <v>45717</v>
      </c>
      <c r="B630" s="15">
        <v>2025</v>
      </c>
      <c r="C630" s="15" t="s">
        <v>39</v>
      </c>
      <c r="D630" s="15" t="s">
        <v>19</v>
      </c>
      <c r="E630" s="15" t="s">
        <v>31</v>
      </c>
      <c r="F630" s="15" t="s">
        <v>32</v>
      </c>
      <c r="G630" s="15" t="s">
        <v>33</v>
      </c>
      <c r="H630" s="16">
        <v>170</v>
      </c>
      <c r="I630" s="17">
        <v>732.3</v>
      </c>
      <c r="J630" s="18">
        <v>0.14499999999999999</v>
      </c>
      <c r="K630" s="17">
        <v>124490.72</v>
      </c>
      <c r="L630" s="17">
        <v>106439.57</v>
      </c>
      <c r="M630" s="17">
        <v>601.76</v>
      </c>
      <c r="N630" s="17">
        <v>102299.09</v>
      </c>
      <c r="O630" s="17">
        <v>4140.4799999999996</v>
      </c>
      <c r="P630" s="18">
        <v>3.8899999999999997E-2</v>
      </c>
      <c r="Q630" s="17">
        <v>1181.3399999999999</v>
      </c>
      <c r="R630" s="15" t="s">
        <v>40</v>
      </c>
    </row>
    <row r="631" spans="1:18" ht="14.25" customHeight="1" x14ac:dyDescent="0.3">
      <c r="A631" s="14">
        <v>45717</v>
      </c>
      <c r="B631" s="15">
        <v>2025</v>
      </c>
      <c r="C631" s="15" t="s">
        <v>39</v>
      </c>
      <c r="D631" s="15" t="s">
        <v>24</v>
      </c>
      <c r="E631" s="15" t="s">
        <v>20</v>
      </c>
      <c r="F631" s="15" t="s">
        <v>21</v>
      </c>
      <c r="G631" s="15" t="s">
        <v>33</v>
      </c>
      <c r="H631" s="16">
        <v>146</v>
      </c>
      <c r="I631" s="17">
        <v>739.66</v>
      </c>
      <c r="J631" s="18">
        <v>0.11</v>
      </c>
      <c r="K631" s="17">
        <v>107990.37</v>
      </c>
      <c r="L631" s="17">
        <v>96111.43</v>
      </c>
      <c r="M631" s="17">
        <v>601.76</v>
      </c>
      <c r="N631" s="17">
        <v>87856.87</v>
      </c>
      <c r="O631" s="17">
        <v>8254.56</v>
      </c>
      <c r="P631" s="18">
        <v>8.5900000000000004E-2</v>
      </c>
      <c r="Q631" s="17">
        <v>1979.37</v>
      </c>
      <c r="R631" s="15" t="s">
        <v>40</v>
      </c>
    </row>
    <row r="632" spans="1:18" ht="14.25" customHeight="1" x14ac:dyDescent="0.3">
      <c r="A632" s="14">
        <v>45717</v>
      </c>
      <c r="B632" s="15">
        <v>2025</v>
      </c>
      <c r="C632" s="15" t="s">
        <v>39</v>
      </c>
      <c r="D632" s="15" t="s">
        <v>27</v>
      </c>
      <c r="E632" s="15" t="s">
        <v>25</v>
      </c>
      <c r="F632" s="15" t="s">
        <v>26</v>
      </c>
      <c r="G632" s="15" t="s">
        <v>33</v>
      </c>
      <c r="H632" s="16">
        <v>127</v>
      </c>
      <c r="I632" s="17">
        <v>747.02</v>
      </c>
      <c r="J632" s="18">
        <v>0.08</v>
      </c>
      <c r="K632" s="17">
        <v>94871.76</v>
      </c>
      <c r="L632" s="17">
        <v>87282.02</v>
      </c>
      <c r="M632" s="17">
        <v>601.76</v>
      </c>
      <c r="N632" s="17">
        <v>76423.44</v>
      </c>
      <c r="O632" s="17">
        <v>10858.59</v>
      </c>
      <c r="P632" s="18">
        <v>0.1244</v>
      </c>
      <c r="Q632" s="17">
        <v>1681.87</v>
      </c>
      <c r="R632" s="15" t="s">
        <v>40</v>
      </c>
    </row>
    <row r="633" spans="1:18" ht="14.25" customHeight="1" x14ac:dyDescent="0.3">
      <c r="A633" s="14">
        <v>45717</v>
      </c>
      <c r="B633" s="15">
        <v>2025</v>
      </c>
      <c r="C633" s="15" t="s">
        <v>39</v>
      </c>
      <c r="D633" s="15" t="s">
        <v>30</v>
      </c>
      <c r="E633" s="15" t="s">
        <v>28</v>
      </c>
      <c r="F633" s="15" t="s">
        <v>29</v>
      </c>
      <c r="G633" s="15" t="s">
        <v>33</v>
      </c>
      <c r="H633" s="16">
        <v>63</v>
      </c>
      <c r="I633" s="17">
        <v>724.94</v>
      </c>
      <c r="J633" s="18">
        <v>6.5000000000000002E-2</v>
      </c>
      <c r="K633" s="17">
        <v>45671.01</v>
      </c>
      <c r="L633" s="17">
        <v>42702.39</v>
      </c>
      <c r="M633" s="17">
        <v>601.76</v>
      </c>
      <c r="N633" s="17">
        <v>37910.839999999997</v>
      </c>
      <c r="O633" s="17">
        <v>4791.55</v>
      </c>
      <c r="P633" s="18">
        <v>0.11219999999999999</v>
      </c>
      <c r="Q633" s="17">
        <v>1201.21</v>
      </c>
      <c r="R633" s="15" t="s">
        <v>40</v>
      </c>
    </row>
    <row r="634" spans="1:18" ht="14.25" customHeight="1" x14ac:dyDescent="0.3">
      <c r="A634" s="14">
        <v>45717</v>
      </c>
      <c r="B634" s="15">
        <v>2025</v>
      </c>
      <c r="C634" s="15" t="s">
        <v>39</v>
      </c>
      <c r="D634" s="15" t="s">
        <v>19</v>
      </c>
      <c r="E634" s="15" t="s">
        <v>25</v>
      </c>
      <c r="F634" s="15" t="s">
        <v>21</v>
      </c>
      <c r="G634" s="15" t="s">
        <v>34</v>
      </c>
      <c r="H634" s="16">
        <v>226</v>
      </c>
      <c r="I634" s="17">
        <v>233.01</v>
      </c>
      <c r="J634" s="18">
        <v>0.08</v>
      </c>
      <c r="K634" s="17">
        <v>52659.48</v>
      </c>
      <c r="L634" s="17">
        <v>48446.720000000001</v>
      </c>
      <c r="M634" s="17">
        <v>165.7</v>
      </c>
      <c r="N634" s="17">
        <v>37448.620000000003</v>
      </c>
      <c r="O634" s="17">
        <v>10998.1</v>
      </c>
      <c r="P634" s="18">
        <v>0.22700000000000001</v>
      </c>
      <c r="Q634" s="17">
        <v>1113.8900000000001</v>
      </c>
      <c r="R634" s="15" t="s">
        <v>40</v>
      </c>
    </row>
    <row r="635" spans="1:18" ht="14.25" customHeight="1" x14ac:dyDescent="0.3">
      <c r="A635" s="14">
        <v>45717</v>
      </c>
      <c r="B635" s="15">
        <v>2025</v>
      </c>
      <c r="C635" s="15" t="s">
        <v>39</v>
      </c>
      <c r="D635" s="15" t="s">
        <v>24</v>
      </c>
      <c r="E635" s="15" t="s">
        <v>31</v>
      </c>
      <c r="F635" s="15" t="s">
        <v>32</v>
      </c>
      <c r="G635" s="15" t="s">
        <v>34</v>
      </c>
      <c r="H635" s="16">
        <v>370</v>
      </c>
      <c r="I635" s="17">
        <v>235.34</v>
      </c>
      <c r="J635" s="18">
        <v>0.14499999999999999</v>
      </c>
      <c r="K635" s="17">
        <v>87077.22</v>
      </c>
      <c r="L635" s="17">
        <v>74451.03</v>
      </c>
      <c r="M635" s="17">
        <v>165.7</v>
      </c>
      <c r="N635" s="17">
        <v>61309.68</v>
      </c>
      <c r="O635" s="17">
        <v>13141.34</v>
      </c>
      <c r="P635" s="18">
        <v>0.17649999999999999</v>
      </c>
      <c r="Q635" s="17">
        <v>863.81</v>
      </c>
      <c r="R635" s="15" t="s">
        <v>40</v>
      </c>
    </row>
    <row r="636" spans="1:18" ht="14.25" customHeight="1" x14ac:dyDescent="0.3">
      <c r="A636" s="14">
        <v>45717</v>
      </c>
      <c r="B636" s="15">
        <v>2025</v>
      </c>
      <c r="C636" s="15" t="s">
        <v>39</v>
      </c>
      <c r="D636" s="15" t="s">
        <v>27</v>
      </c>
      <c r="E636" s="15" t="s">
        <v>20</v>
      </c>
      <c r="F636" s="15" t="s">
        <v>21</v>
      </c>
      <c r="G636" s="15" t="s">
        <v>34</v>
      </c>
      <c r="H636" s="16">
        <v>324</v>
      </c>
      <c r="I636" s="17">
        <v>237.69</v>
      </c>
      <c r="J636" s="18">
        <v>0.11</v>
      </c>
      <c r="K636" s="17">
        <v>77011.27</v>
      </c>
      <c r="L636" s="17">
        <v>68540.03</v>
      </c>
      <c r="M636" s="17">
        <v>165.7</v>
      </c>
      <c r="N636" s="17">
        <v>53687.4</v>
      </c>
      <c r="O636" s="17">
        <v>14852.63</v>
      </c>
      <c r="P636" s="18">
        <v>0.2167</v>
      </c>
      <c r="Q636" s="17">
        <v>1440.09</v>
      </c>
      <c r="R636" s="15" t="s">
        <v>40</v>
      </c>
    </row>
    <row r="637" spans="1:18" ht="14.25" customHeight="1" x14ac:dyDescent="0.3">
      <c r="A637" s="14">
        <v>45717</v>
      </c>
      <c r="B637" s="15">
        <v>2025</v>
      </c>
      <c r="C637" s="15" t="s">
        <v>39</v>
      </c>
      <c r="D637" s="15" t="s">
        <v>30</v>
      </c>
      <c r="E637" s="15" t="s">
        <v>25</v>
      </c>
      <c r="F637" s="15" t="s">
        <v>26</v>
      </c>
      <c r="G637" s="15" t="s">
        <v>34</v>
      </c>
      <c r="H637" s="16">
        <v>178</v>
      </c>
      <c r="I637" s="17">
        <v>230.66</v>
      </c>
      <c r="J637" s="18">
        <v>0.08</v>
      </c>
      <c r="K637" s="17">
        <v>41057.71</v>
      </c>
      <c r="L637" s="17">
        <v>37773.1</v>
      </c>
      <c r="M637" s="17">
        <v>165.7</v>
      </c>
      <c r="N637" s="17">
        <v>29494.93</v>
      </c>
      <c r="O637" s="17">
        <v>8278.17</v>
      </c>
      <c r="P637" s="18">
        <v>0.21920000000000001</v>
      </c>
      <c r="Q637" s="17">
        <v>965.46</v>
      </c>
      <c r="R637" s="15" t="s">
        <v>40</v>
      </c>
    </row>
    <row r="638" spans="1:18" ht="14.25" customHeight="1" x14ac:dyDescent="0.3">
      <c r="A638" s="14">
        <v>45717</v>
      </c>
      <c r="B638" s="15">
        <v>2025</v>
      </c>
      <c r="C638" s="15" t="s">
        <v>39</v>
      </c>
      <c r="D638" s="15" t="s">
        <v>19</v>
      </c>
      <c r="E638" s="15" t="s">
        <v>31</v>
      </c>
      <c r="F638" s="15" t="s">
        <v>32</v>
      </c>
      <c r="G638" s="15" t="s">
        <v>35</v>
      </c>
      <c r="H638" s="16">
        <v>1167</v>
      </c>
      <c r="I638" s="17">
        <v>11.65</v>
      </c>
      <c r="J638" s="18">
        <v>0.14499999999999999</v>
      </c>
      <c r="K638" s="17">
        <v>13591.76</v>
      </c>
      <c r="L638" s="17">
        <v>11620.95</v>
      </c>
      <c r="M638" s="17">
        <v>6.11</v>
      </c>
      <c r="N638" s="17">
        <v>7125.24</v>
      </c>
      <c r="O638" s="17">
        <v>4495.72</v>
      </c>
      <c r="P638" s="18">
        <v>0.38690000000000002</v>
      </c>
      <c r="Q638" s="17">
        <v>385.1</v>
      </c>
      <c r="R638" s="15" t="s">
        <v>40</v>
      </c>
    </row>
    <row r="639" spans="1:18" ht="14.25" customHeight="1" x14ac:dyDescent="0.3">
      <c r="A639" s="14">
        <v>45717</v>
      </c>
      <c r="B639" s="15">
        <v>2025</v>
      </c>
      <c r="C639" s="15" t="s">
        <v>39</v>
      </c>
      <c r="D639" s="15" t="s">
        <v>24</v>
      </c>
      <c r="E639" s="15" t="s">
        <v>20</v>
      </c>
      <c r="F639" s="15" t="s">
        <v>21</v>
      </c>
      <c r="G639" s="15" t="s">
        <v>35</v>
      </c>
      <c r="H639" s="16">
        <v>1078</v>
      </c>
      <c r="I639" s="17">
        <v>11.77</v>
      </c>
      <c r="J639" s="18">
        <v>0.11</v>
      </c>
      <c r="K639" s="17">
        <v>12683.75</v>
      </c>
      <c r="L639" s="17">
        <v>11288.54</v>
      </c>
      <c r="M639" s="17">
        <v>6.11</v>
      </c>
      <c r="N639" s="17">
        <v>6581.84</v>
      </c>
      <c r="O639" s="17">
        <v>4706.7</v>
      </c>
      <c r="P639" s="18">
        <v>0.41689999999999999</v>
      </c>
      <c r="Q639" s="17">
        <v>656.26</v>
      </c>
      <c r="R639" s="15" t="s">
        <v>40</v>
      </c>
    </row>
    <row r="640" spans="1:18" ht="14.25" customHeight="1" x14ac:dyDescent="0.3">
      <c r="A640" s="14">
        <v>45717</v>
      </c>
      <c r="B640" s="15">
        <v>2025</v>
      </c>
      <c r="C640" s="15" t="s">
        <v>39</v>
      </c>
      <c r="D640" s="15" t="s">
        <v>27</v>
      </c>
      <c r="E640" s="15" t="s">
        <v>25</v>
      </c>
      <c r="F640" s="15" t="s">
        <v>26</v>
      </c>
      <c r="G640" s="15" t="s">
        <v>35</v>
      </c>
      <c r="H640" s="16">
        <v>967</v>
      </c>
      <c r="I640" s="17">
        <v>11.89</v>
      </c>
      <c r="J640" s="18">
        <v>0.08</v>
      </c>
      <c r="K640" s="17">
        <v>11493.04</v>
      </c>
      <c r="L640" s="17">
        <v>10573.6</v>
      </c>
      <c r="M640" s="17">
        <v>6.11</v>
      </c>
      <c r="N640" s="17">
        <v>5904.12</v>
      </c>
      <c r="O640" s="17">
        <v>4669.4799999999996</v>
      </c>
      <c r="P640" s="18">
        <v>0.44159999999999999</v>
      </c>
      <c r="Q640" s="17">
        <v>585.53</v>
      </c>
      <c r="R640" s="15" t="s">
        <v>40</v>
      </c>
    </row>
    <row r="641" spans="1:18" ht="14.25" customHeight="1" x14ac:dyDescent="0.3">
      <c r="A641" s="14">
        <v>45717</v>
      </c>
      <c r="B641" s="15">
        <v>2025</v>
      </c>
      <c r="C641" s="15" t="s">
        <v>39</v>
      </c>
      <c r="D641" s="15" t="s">
        <v>30</v>
      </c>
      <c r="E641" s="15" t="s">
        <v>31</v>
      </c>
      <c r="F641" s="15" t="s">
        <v>32</v>
      </c>
      <c r="G641" s="15" t="s">
        <v>35</v>
      </c>
      <c r="H641" s="16">
        <v>983</v>
      </c>
      <c r="I641" s="17">
        <v>11.54</v>
      </c>
      <c r="J641" s="18">
        <v>0.14499999999999999</v>
      </c>
      <c r="K641" s="17">
        <v>11339.35</v>
      </c>
      <c r="L641" s="17">
        <v>9695.14</v>
      </c>
      <c r="M641" s="17">
        <v>6.11</v>
      </c>
      <c r="N641" s="17">
        <v>6001.8</v>
      </c>
      <c r="O641" s="17">
        <v>3693.34</v>
      </c>
      <c r="P641" s="18">
        <v>0.38090000000000002</v>
      </c>
      <c r="Q641" s="17">
        <v>346.4</v>
      </c>
      <c r="R641" s="15" t="s">
        <v>40</v>
      </c>
    </row>
    <row r="642" spans="1:18" ht="14.25" customHeight="1" x14ac:dyDescent="0.3">
      <c r="A642" s="14">
        <v>45717</v>
      </c>
      <c r="B642" s="15">
        <v>2025</v>
      </c>
      <c r="C642" s="15" t="s">
        <v>39</v>
      </c>
      <c r="D642" s="15" t="s">
        <v>19</v>
      </c>
      <c r="E642" s="15" t="s">
        <v>20</v>
      </c>
      <c r="F642" s="15" t="s">
        <v>21</v>
      </c>
      <c r="G642" s="15" t="s">
        <v>36</v>
      </c>
      <c r="H642" s="16">
        <v>351</v>
      </c>
      <c r="I642" s="17">
        <v>70.73</v>
      </c>
      <c r="J642" s="18">
        <v>9.5000000000000001E-2</v>
      </c>
      <c r="K642" s="17">
        <v>24826.63</v>
      </c>
      <c r="L642" s="17">
        <v>22468.11</v>
      </c>
      <c r="M642" s="17">
        <v>15.7</v>
      </c>
      <c r="N642" s="17">
        <v>5511.14</v>
      </c>
      <c r="O642" s="17">
        <v>16956.97</v>
      </c>
      <c r="P642" s="18">
        <v>0.75470000000000004</v>
      </c>
      <c r="Q642" s="17">
        <v>855.48</v>
      </c>
      <c r="R642" s="15" t="s">
        <v>40</v>
      </c>
    </row>
    <row r="643" spans="1:18" ht="14.25" customHeight="1" x14ac:dyDescent="0.3">
      <c r="A643" s="14">
        <v>45717</v>
      </c>
      <c r="B643" s="15">
        <v>2025</v>
      </c>
      <c r="C643" s="15" t="s">
        <v>39</v>
      </c>
      <c r="D643" s="15" t="s">
        <v>24</v>
      </c>
      <c r="E643" s="15" t="s">
        <v>28</v>
      </c>
      <c r="F643" s="15" t="s">
        <v>32</v>
      </c>
      <c r="G643" s="15" t="s">
        <v>36</v>
      </c>
      <c r="H643" s="16">
        <v>257</v>
      </c>
      <c r="I643" s="17">
        <v>71.45</v>
      </c>
      <c r="J643" s="18">
        <v>0.05</v>
      </c>
      <c r="K643" s="17">
        <v>18361.79</v>
      </c>
      <c r="L643" s="17">
        <v>17443.7</v>
      </c>
      <c r="M643" s="17">
        <v>15.7</v>
      </c>
      <c r="N643" s="17">
        <v>4035.22</v>
      </c>
      <c r="O643" s="17">
        <v>13408.48</v>
      </c>
      <c r="P643" s="18">
        <v>0.76870000000000005</v>
      </c>
      <c r="Q643" s="17">
        <v>675.96</v>
      </c>
      <c r="R643" s="15" t="s">
        <v>40</v>
      </c>
    </row>
    <row r="644" spans="1:18" ht="14.25" customHeight="1" x14ac:dyDescent="0.3">
      <c r="A644" s="14">
        <v>45717</v>
      </c>
      <c r="B644" s="15">
        <v>2025</v>
      </c>
      <c r="C644" s="15" t="s">
        <v>39</v>
      </c>
      <c r="D644" s="15" t="s">
        <v>27</v>
      </c>
      <c r="E644" s="15" t="s">
        <v>31</v>
      </c>
      <c r="F644" s="15" t="s">
        <v>32</v>
      </c>
      <c r="G644" s="15" t="s">
        <v>36</v>
      </c>
      <c r="H644" s="16">
        <v>541</v>
      </c>
      <c r="I644" s="17">
        <v>72.150000000000006</v>
      </c>
      <c r="J644" s="18">
        <v>0.13</v>
      </c>
      <c r="K644" s="17">
        <v>39035.42</v>
      </c>
      <c r="L644" s="17">
        <v>33960.82</v>
      </c>
      <c r="M644" s="17">
        <v>15.7</v>
      </c>
      <c r="N644" s="17">
        <v>8494.3799999999992</v>
      </c>
      <c r="O644" s="17">
        <v>25466.44</v>
      </c>
      <c r="P644" s="18">
        <v>0.74990000000000001</v>
      </c>
      <c r="Q644" s="17">
        <v>637.29</v>
      </c>
      <c r="R644" s="15" t="s">
        <v>40</v>
      </c>
    </row>
    <row r="645" spans="1:18" ht="14.25" customHeight="1" x14ac:dyDescent="0.3">
      <c r="A645" s="14">
        <v>45717</v>
      </c>
      <c r="B645" s="15">
        <v>2025</v>
      </c>
      <c r="C645" s="15" t="s">
        <v>39</v>
      </c>
      <c r="D645" s="15" t="s">
        <v>30</v>
      </c>
      <c r="E645" s="15" t="s">
        <v>20</v>
      </c>
      <c r="F645" s="15" t="s">
        <v>26</v>
      </c>
      <c r="G645" s="15" t="s">
        <v>36</v>
      </c>
      <c r="H645" s="16">
        <v>303</v>
      </c>
      <c r="I645" s="17">
        <v>70.02</v>
      </c>
      <c r="J645" s="18">
        <v>9.5000000000000001E-2</v>
      </c>
      <c r="K645" s="17">
        <v>21217.15</v>
      </c>
      <c r="L645" s="17">
        <v>19201.52</v>
      </c>
      <c r="M645" s="17">
        <v>15.7</v>
      </c>
      <c r="N645" s="17">
        <v>4757.4799999999996</v>
      </c>
      <c r="O645" s="17">
        <v>14444.04</v>
      </c>
      <c r="P645" s="18">
        <v>0.75219999999999998</v>
      </c>
      <c r="Q645" s="17">
        <v>801.3</v>
      </c>
      <c r="R645" s="15" t="s">
        <v>40</v>
      </c>
    </row>
    <row r="646" spans="1:18" ht="14.25" customHeight="1" x14ac:dyDescent="0.3">
      <c r="A646" s="14">
        <v>45717</v>
      </c>
      <c r="B646" s="15">
        <v>2025</v>
      </c>
      <c r="C646" s="15" t="s">
        <v>39</v>
      </c>
      <c r="D646" s="15" t="s">
        <v>19</v>
      </c>
      <c r="E646" s="15" t="s">
        <v>25</v>
      </c>
      <c r="F646" s="15" t="s">
        <v>26</v>
      </c>
      <c r="G646" s="15" t="s">
        <v>37</v>
      </c>
      <c r="H646" s="16">
        <v>242</v>
      </c>
      <c r="I646" s="17">
        <v>54.09</v>
      </c>
      <c r="J646" s="18">
        <v>6.5000000000000002E-2</v>
      </c>
      <c r="K646" s="17">
        <v>13090.22</v>
      </c>
      <c r="L646" s="17">
        <v>12239.35</v>
      </c>
      <c r="M646" s="17">
        <v>7.85</v>
      </c>
      <c r="N646" s="17">
        <v>1898.89</v>
      </c>
      <c r="O646" s="17">
        <v>10340.459999999999</v>
      </c>
      <c r="P646" s="18">
        <v>0.84489999999999998</v>
      </c>
      <c r="Q646" s="17">
        <v>464.15</v>
      </c>
      <c r="R646" s="15" t="s">
        <v>40</v>
      </c>
    </row>
    <row r="647" spans="1:18" ht="14.25" customHeight="1" x14ac:dyDescent="0.3">
      <c r="A647" s="14">
        <v>45717</v>
      </c>
      <c r="B647" s="15">
        <v>2025</v>
      </c>
      <c r="C647" s="15" t="s">
        <v>39</v>
      </c>
      <c r="D647" s="15" t="s">
        <v>24</v>
      </c>
      <c r="E647" s="15" t="s">
        <v>28</v>
      </c>
      <c r="F647" s="15" t="s">
        <v>29</v>
      </c>
      <c r="G647" s="15" t="s">
        <v>37</v>
      </c>
      <c r="H647" s="16">
        <v>196</v>
      </c>
      <c r="I647" s="17">
        <v>54.63</v>
      </c>
      <c r="J647" s="18">
        <v>0.05</v>
      </c>
      <c r="K647" s="17">
        <v>10707.95</v>
      </c>
      <c r="L647" s="17">
        <v>10172.549999999999</v>
      </c>
      <c r="M647" s="17">
        <v>7.85</v>
      </c>
      <c r="N647" s="17">
        <v>1537.94</v>
      </c>
      <c r="O647" s="17">
        <v>8634.61</v>
      </c>
      <c r="P647" s="18">
        <v>0.8488</v>
      </c>
      <c r="Q647" s="17">
        <v>418.2</v>
      </c>
      <c r="R647" s="15" t="s">
        <v>40</v>
      </c>
    </row>
    <row r="648" spans="1:18" ht="14.25" customHeight="1" x14ac:dyDescent="0.3">
      <c r="A648" s="14">
        <v>45717</v>
      </c>
      <c r="B648" s="15">
        <v>2025</v>
      </c>
      <c r="C648" s="15" t="s">
        <v>39</v>
      </c>
      <c r="D648" s="15" t="s">
        <v>27</v>
      </c>
      <c r="E648" s="15" t="s">
        <v>20</v>
      </c>
      <c r="F648" s="15" t="s">
        <v>26</v>
      </c>
      <c r="G648" s="15" t="s">
        <v>37</v>
      </c>
      <c r="H648" s="16">
        <v>379</v>
      </c>
      <c r="I648" s="17">
        <v>55.18</v>
      </c>
      <c r="J648" s="18">
        <v>9.5000000000000001E-2</v>
      </c>
      <c r="K648" s="17">
        <v>20913.580000000002</v>
      </c>
      <c r="L648" s="17">
        <v>18926.79</v>
      </c>
      <c r="M648" s="17">
        <v>7.85</v>
      </c>
      <c r="N648" s="17">
        <v>2973.88</v>
      </c>
      <c r="O648" s="17">
        <v>15952.91</v>
      </c>
      <c r="P648" s="18">
        <v>0.84289999999999998</v>
      </c>
      <c r="Q648" s="17">
        <v>619.07000000000005</v>
      </c>
      <c r="R648" s="15" t="s">
        <v>40</v>
      </c>
    </row>
    <row r="649" spans="1:18" ht="14.25" customHeight="1" x14ac:dyDescent="0.3">
      <c r="A649" s="14">
        <v>45717</v>
      </c>
      <c r="B649" s="15">
        <v>2025</v>
      </c>
      <c r="C649" s="15" t="s">
        <v>39</v>
      </c>
      <c r="D649" s="15" t="s">
        <v>30</v>
      </c>
      <c r="E649" s="15" t="s">
        <v>25</v>
      </c>
      <c r="F649" s="15" t="s">
        <v>21</v>
      </c>
      <c r="G649" s="15" t="s">
        <v>37</v>
      </c>
      <c r="H649" s="16">
        <v>191</v>
      </c>
      <c r="I649" s="17">
        <v>53.54</v>
      </c>
      <c r="J649" s="18">
        <v>6.5000000000000002E-2</v>
      </c>
      <c r="K649" s="17">
        <v>10226.76</v>
      </c>
      <c r="L649" s="17">
        <v>9562.02</v>
      </c>
      <c r="M649" s="17">
        <v>7.85</v>
      </c>
      <c r="N649" s="17">
        <v>1498.71</v>
      </c>
      <c r="O649" s="17">
        <v>8063.31</v>
      </c>
      <c r="P649" s="18">
        <v>0.84330000000000005</v>
      </c>
      <c r="Q649" s="17">
        <v>408.85</v>
      </c>
      <c r="R649" s="15" t="s">
        <v>40</v>
      </c>
    </row>
    <row r="650" spans="1:18" ht="14.25" customHeight="1" x14ac:dyDescent="0.3">
      <c r="A650" s="14">
        <v>45748</v>
      </c>
      <c r="B650" s="15">
        <v>2025</v>
      </c>
      <c r="C650" s="15" t="s">
        <v>41</v>
      </c>
      <c r="D650" s="15" t="s">
        <v>19</v>
      </c>
      <c r="E650" s="15" t="s">
        <v>31</v>
      </c>
      <c r="F650" s="15" t="s">
        <v>32</v>
      </c>
      <c r="G650" s="15" t="s">
        <v>22</v>
      </c>
      <c r="H650" s="16">
        <v>209</v>
      </c>
      <c r="I650" s="17">
        <v>515.94000000000005</v>
      </c>
      <c r="J650" s="18">
        <v>0.12</v>
      </c>
      <c r="K650" s="17">
        <v>107831.27</v>
      </c>
      <c r="L650" s="17">
        <v>94891.520000000004</v>
      </c>
      <c r="M650" s="17">
        <v>405.53</v>
      </c>
      <c r="N650" s="17">
        <v>84755.67</v>
      </c>
      <c r="O650" s="17">
        <v>10135.85</v>
      </c>
      <c r="P650" s="18">
        <v>0.10680000000000001</v>
      </c>
      <c r="Q650" s="17">
        <v>781.58</v>
      </c>
      <c r="R650" s="15" t="s">
        <v>23</v>
      </c>
    </row>
    <row r="651" spans="1:18" ht="14.25" customHeight="1" x14ac:dyDescent="0.3">
      <c r="A651" s="14">
        <v>45748</v>
      </c>
      <c r="B651" s="15">
        <v>2025</v>
      </c>
      <c r="C651" s="15" t="s">
        <v>41</v>
      </c>
      <c r="D651" s="15" t="s">
        <v>24</v>
      </c>
      <c r="E651" s="15" t="s">
        <v>20</v>
      </c>
      <c r="F651" s="15" t="s">
        <v>21</v>
      </c>
      <c r="G651" s="15" t="s">
        <v>22</v>
      </c>
      <c r="H651" s="16">
        <v>193</v>
      </c>
      <c r="I651" s="17">
        <v>521.12</v>
      </c>
      <c r="J651" s="18">
        <v>8.5000000000000006E-2</v>
      </c>
      <c r="K651" s="17">
        <v>100576.64</v>
      </c>
      <c r="L651" s="17">
        <v>92027.63</v>
      </c>
      <c r="M651" s="17">
        <v>405.53</v>
      </c>
      <c r="N651" s="17">
        <v>78267.19</v>
      </c>
      <c r="O651" s="17">
        <v>13760.43</v>
      </c>
      <c r="P651" s="18">
        <v>0.14949999999999999</v>
      </c>
      <c r="Q651" s="17">
        <v>1380.06</v>
      </c>
      <c r="R651" s="15" t="s">
        <v>23</v>
      </c>
    </row>
    <row r="652" spans="1:18" ht="14.25" customHeight="1" x14ac:dyDescent="0.3">
      <c r="A652" s="14">
        <v>45748</v>
      </c>
      <c r="B652" s="15">
        <v>2025</v>
      </c>
      <c r="C652" s="15" t="s">
        <v>41</v>
      </c>
      <c r="D652" s="15" t="s">
        <v>27</v>
      </c>
      <c r="E652" s="15" t="s">
        <v>25</v>
      </c>
      <c r="F652" s="15" t="s">
        <v>26</v>
      </c>
      <c r="G652" s="15" t="s">
        <v>22</v>
      </c>
      <c r="H652" s="16">
        <v>182</v>
      </c>
      <c r="I652" s="17">
        <v>526.30999999999995</v>
      </c>
      <c r="J652" s="18">
        <v>5.5E-2</v>
      </c>
      <c r="K652" s="17">
        <v>95787.67</v>
      </c>
      <c r="L652" s="17">
        <v>90519.35</v>
      </c>
      <c r="M652" s="17">
        <v>405.53</v>
      </c>
      <c r="N652" s="17">
        <v>73806.37</v>
      </c>
      <c r="O652" s="17">
        <v>16712.98</v>
      </c>
      <c r="P652" s="18">
        <v>0.18459999999999999</v>
      </c>
      <c r="Q652" s="17">
        <v>1201.3399999999999</v>
      </c>
      <c r="R652" s="15" t="s">
        <v>23</v>
      </c>
    </row>
    <row r="653" spans="1:18" ht="14.25" customHeight="1" x14ac:dyDescent="0.3">
      <c r="A653" s="14">
        <v>45748</v>
      </c>
      <c r="B653" s="15">
        <v>2025</v>
      </c>
      <c r="C653" s="15" t="s">
        <v>41</v>
      </c>
      <c r="D653" s="15" t="s">
        <v>30</v>
      </c>
      <c r="E653" s="15" t="s">
        <v>28</v>
      </c>
      <c r="F653" s="15" t="s">
        <v>29</v>
      </c>
      <c r="G653" s="15" t="s">
        <v>22</v>
      </c>
      <c r="H653" s="16">
        <v>84</v>
      </c>
      <c r="I653" s="17">
        <v>510.76</v>
      </c>
      <c r="J653" s="18">
        <v>0.04</v>
      </c>
      <c r="K653" s="17">
        <v>42903.48</v>
      </c>
      <c r="L653" s="17">
        <v>41187.339999999997</v>
      </c>
      <c r="M653" s="17">
        <v>405.53</v>
      </c>
      <c r="N653" s="17">
        <v>34064.480000000003</v>
      </c>
      <c r="O653" s="17">
        <v>7122.86</v>
      </c>
      <c r="P653" s="18">
        <v>0.1729</v>
      </c>
      <c r="Q653" s="17">
        <v>806.67</v>
      </c>
      <c r="R653" s="15" t="s">
        <v>23</v>
      </c>
    </row>
    <row r="654" spans="1:18" ht="14.25" customHeight="1" x14ac:dyDescent="0.3">
      <c r="A654" s="14">
        <v>45748</v>
      </c>
      <c r="B654" s="15">
        <v>2025</v>
      </c>
      <c r="C654" s="15" t="s">
        <v>41</v>
      </c>
      <c r="D654" s="15" t="s">
        <v>19</v>
      </c>
      <c r="E654" s="15" t="s">
        <v>20</v>
      </c>
      <c r="F654" s="15" t="s">
        <v>21</v>
      </c>
      <c r="G654" s="15" t="s">
        <v>33</v>
      </c>
      <c r="H654" s="16">
        <v>121</v>
      </c>
      <c r="I654" s="17">
        <v>732.3</v>
      </c>
      <c r="J654" s="18">
        <v>8.5000000000000006E-2</v>
      </c>
      <c r="K654" s="17">
        <v>88608.1</v>
      </c>
      <c r="L654" s="17">
        <v>81076.41</v>
      </c>
      <c r="M654" s="17">
        <v>601.76</v>
      </c>
      <c r="N654" s="17">
        <v>72812.88</v>
      </c>
      <c r="O654" s="17">
        <v>8263.5300000000007</v>
      </c>
      <c r="P654" s="18">
        <v>0.1019</v>
      </c>
      <c r="Q654" s="17">
        <v>1251.3399999999999</v>
      </c>
      <c r="R654" s="15" t="s">
        <v>23</v>
      </c>
    </row>
    <row r="655" spans="1:18" ht="14.25" customHeight="1" x14ac:dyDescent="0.3">
      <c r="A655" s="14">
        <v>45748</v>
      </c>
      <c r="B655" s="15">
        <v>2025</v>
      </c>
      <c r="C655" s="15" t="s">
        <v>41</v>
      </c>
      <c r="D655" s="15" t="s">
        <v>24</v>
      </c>
      <c r="E655" s="15" t="s">
        <v>25</v>
      </c>
      <c r="F655" s="15" t="s">
        <v>26</v>
      </c>
      <c r="G655" s="15" t="s">
        <v>33</v>
      </c>
      <c r="H655" s="16">
        <v>108</v>
      </c>
      <c r="I655" s="17">
        <v>739.66</v>
      </c>
      <c r="J655" s="18">
        <v>5.5E-2</v>
      </c>
      <c r="K655" s="17">
        <v>79883.289999999994</v>
      </c>
      <c r="L655" s="17">
        <v>75489.7</v>
      </c>
      <c r="M655" s="17">
        <v>601.76</v>
      </c>
      <c r="N655" s="17">
        <v>64990.01</v>
      </c>
      <c r="O655" s="17">
        <v>10499.69</v>
      </c>
      <c r="P655" s="18">
        <v>0.1391</v>
      </c>
      <c r="Q655" s="17">
        <v>1135.8800000000001</v>
      </c>
      <c r="R655" s="15" t="s">
        <v>23</v>
      </c>
    </row>
    <row r="656" spans="1:18" ht="14.25" customHeight="1" x14ac:dyDescent="0.3">
      <c r="A656" s="14">
        <v>45748</v>
      </c>
      <c r="B656" s="15">
        <v>2025</v>
      </c>
      <c r="C656" s="15" t="s">
        <v>41</v>
      </c>
      <c r="D656" s="15" t="s">
        <v>27</v>
      </c>
      <c r="E656" s="15" t="s">
        <v>28</v>
      </c>
      <c r="F656" s="15" t="s">
        <v>29</v>
      </c>
      <c r="G656" s="15" t="s">
        <v>33</v>
      </c>
      <c r="H656" s="16">
        <v>80</v>
      </c>
      <c r="I656" s="17">
        <v>747.02</v>
      </c>
      <c r="J656" s="18">
        <v>0.04</v>
      </c>
      <c r="K656" s="17">
        <v>59761.74</v>
      </c>
      <c r="L656" s="17">
        <v>57371.27</v>
      </c>
      <c r="M656" s="17">
        <v>601.76</v>
      </c>
      <c r="N656" s="17">
        <v>48140.75</v>
      </c>
      <c r="O656" s="17">
        <v>9230.52</v>
      </c>
      <c r="P656" s="18">
        <v>0.16089999999999999</v>
      </c>
      <c r="Q656" s="17">
        <v>996.36</v>
      </c>
      <c r="R656" s="15" t="s">
        <v>23</v>
      </c>
    </row>
    <row r="657" spans="1:18" ht="14.25" customHeight="1" x14ac:dyDescent="0.3">
      <c r="A657" s="14">
        <v>45748</v>
      </c>
      <c r="B657" s="15">
        <v>2025</v>
      </c>
      <c r="C657" s="15" t="s">
        <v>41</v>
      </c>
      <c r="D657" s="15" t="s">
        <v>30</v>
      </c>
      <c r="E657" s="15" t="s">
        <v>31</v>
      </c>
      <c r="F657" s="15" t="s">
        <v>32</v>
      </c>
      <c r="G657" s="15" t="s">
        <v>33</v>
      </c>
      <c r="H657" s="16">
        <v>98</v>
      </c>
      <c r="I657" s="17">
        <v>724.94</v>
      </c>
      <c r="J657" s="18">
        <v>0.12</v>
      </c>
      <c r="K657" s="17">
        <v>71043.789999999994</v>
      </c>
      <c r="L657" s="17">
        <v>62518.54</v>
      </c>
      <c r="M657" s="17">
        <v>601.76</v>
      </c>
      <c r="N657" s="17">
        <v>58972.42</v>
      </c>
      <c r="O657" s="17">
        <v>3546.12</v>
      </c>
      <c r="P657" s="18">
        <v>5.67E-2</v>
      </c>
      <c r="Q657" s="17">
        <v>682.46</v>
      </c>
      <c r="R657" s="15" t="s">
        <v>23</v>
      </c>
    </row>
    <row r="658" spans="1:18" ht="14.25" customHeight="1" x14ac:dyDescent="0.3">
      <c r="A658" s="14">
        <v>45748</v>
      </c>
      <c r="B658" s="15">
        <v>2025</v>
      </c>
      <c r="C658" s="15" t="s">
        <v>41</v>
      </c>
      <c r="D658" s="15" t="s">
        <v>19</v>
      </c>
      <c r="E658" s="15" t="s">
        <v>31</v>
      </c>
      <c r="F658" s="15" t="s">
        <v>32</v>
      </c>
      <c r="G658" s="15" t="s">
        <v>34</v>
      </c>
      <c r="H658" s="16">
        <v>286</v>
      </c>
      <c r="I658" s="17">
        <v>233.01</v>
      </c>
      <c r="J658" s="18">
        <v>0.12</v>
      </c>
      <c r="K658" s="17">
        <v>66639.87</v>
      </c>
      <c r="L658" s="17">
        <v>58643.09</v>
      </c>
      <c r="M658" s="17">
        <v>165.7</v>
      </c>
      <c r="N658" s="17">
        <v>47390.73</v>
      </c>
      <c r="O658" s="17">
        <v>11252.36</v>
      </c>
      <c r="P658" s="18">
        <v>0.19189999999999999</v>
      </c>
      <c r="Q658" s="17">
        <v>557.89</v>
      </c>
      <c r="R658" s="15" t="s">
        <v>23</v>
      </c>
    </row>
    <row r="659" spans="1:18" ht="14.25" customHeight="1" x14ac:dyDescent="0.3">
      <c r="A659" s="14">
        <v>45748</v>
      </c>
      <c r="B659" s="15">
        <v>2025</v>
      </c>
      <c r="C659" s="15" t="s">
        <v>41</v>
      </c>
      <c r="D659" s="15" t="s">
        <v>24</v>
      </c>
      <c r="E659" s="15" t="s">
        <v>20</v>
      </c>
      <c r="F659" s="15" t="s">
        <v>21</v>
      </c>
      <c r="G659" s="15" t="s">
        <v>34</v>
      </c>
      <c r="H659" s="16">
        <v>260</v>
      </c>
      <c r="I659" s="17">
        <v>235.34</v>
      </c>
      <c r="J659" s="18">
        <v>8.5000000000000006E-2</v>
      </c>
      <c r="K659" s="17">
        <v>61189.4</v>
      </c>
      <c r="L659" s="17">
        <v>55988.3</v>
      </c>
      <c r="M659" s="17">
        <v>165.7</v>
      </c>
      <c r="N659" s="17">
        <v>43082.48</v>
      </c>
      <c r="O659" s="17">
        <v>12905.82</v>
      </c>
      <c r="P659" s="18">
        <v>0.23050000000000001</v>
      </c>
      <c r="Q659" s="17">
        <v>921.5</v>
      </c>
      <c r="R659" s="15" t="s">
        <v>23</v>
      </c>
    </row>
    <row r="660" spans="1:18" ht="14.25" customHeight="1" x14ac:dyDescent="0.3">
      <c r="A660" s="14">
        <v>45748</v>
      </c>
      <c r="B660" s="15">
        <v>2025</v>
      </c>
      <c r="C660" s="15" t="s">
        <v>41</v>
      </c>
      <c r="D660" s="15" t="s">
        <v>27</v>
      </c>
      <c r="E660" s="15" t="s">
        <v>25</v>
      </c>
      <c r="F660" s="15" t="s">
        <v>26</v>
      </c>
      <c r="G660" s="15" t="s">
        <v>34</v>
      </c>
      <c r="H660" s="16">
        <v>227</v>
      </c>
      <c r="I660" s="17">
        <v>237.69</v>
      </c>
      <c r="J660" s="18">
        <v>5.5E-2</v>
      </c>
      <c r="K660" s="17">
        <v>53955.43</v>
      </c>
      <c r="L660" s="17">
        <v>50987.87</v>
      </c>
      <c r="M660" s="17">
        <v>165.7</v>
      </c>
      <c r="N660" s="17">
        <v>37614.32</v>
      </c>
      <c r="O660" s="17">
        <v>13373.55</v>
      </c>
      <c r="P660" s="18">
        <v>0.26229999999999998</v>
      </c>
      <c r="Q660" s="17">
        <v>857.02</v>
      </c>
      <c r="R660" s="15" t="s">
        <v>23</v>
      </c>
    </row>
    <row r="661" spans="1:18" ht="14.25" customHeight="1" x14ac:dyDescent="0.3">
      <c r="A661" s="14">
        <v>45748</v>
      </c>
      <c r="B661" s="15">
        <v>2025</v>
      </c>
      <c r="C661" s="15" t="s">
        <v>41</v>
      </c>
      <c r="D661" s="15" t="s">
        <v>30</v>
      </c>
      <c r="E661" s="15" t="s">
        <v>31</v>
      </c>
      <c r="F661" s="15" t="s">
        <v>32</v>
      </c>
      <c r="G661" s="15" t="s">
        <v>34</v>
      </c>
      <c r="H661" s="16">
        <v>202</v>
      </c>
      <c r="I661" s="17">
        <v>230.66</v>
      </c>
      <c r="J661" s="18">
        <v>0.12</v>
      </c>
      <c r="K661" s="17">
        <v>46593.58</v>
      </c>
      <c r="L661" s="17">
        <v>41002.36</v>
      </c>
      <c r="M661" s="17">
        <v>165.7</v>
      </c>
      <c r="N661" s="17">
        <v>33471.769999999997</v>
      </c>
      <c r="O661" s="17">
        <v>7530.58</v>
      </c>
      <c r="P661" s="18">
        <v>0.1837</v>
      </c>
      <c r="Q661" s="17">
        <v>502.14</v>
      </c>
      <c r="R661" s="15" t="s">
        <v>23</v>
      </c>
    </row>
    <row r="662" spans="1:18" ht="14.25" customHeight="1" x14ac:dyDescent="0.3">
      <c r="A662" s="14">
        <v>45748</v>
      </c>
      <c r="B662" s="15">
        <v>2025</v>
      </c>
      <c r="C662" s="15" t="s">
        <v>41</v>
      </c>
      <c r="D662" s="15" t="s">
        <v>19</v>
      </c>
      <c r="E662" s="15" t="s">
        <v>20</v>
      </c>
      <c r="F662" s="15" t="s">
        <v>21</v>
      </c>
      <c r="G662" s="15" t="s">
        <v>35</v>
      </c>
      <c r="H662" s="16">
        <v>915</v>
      </c>
      <c r="I662" s="17">
        <v>11.65</v>
      </c>
      <c r="J662" s="18">
        <v>8.5000000000000006E-2</v>
      </c>
      <c r="K662" s="17">
        <v>10656.78</v>
      </c>
      <c r="L662" s="17">
        <v>9750.9500000000007</v>
      </c>
      <c r="M662" s="17">
        <v>6.11</v>
      </c>
      <c r="N662" s="17">
        <v>5586.62</v>
      </c>
      <c r="O662" s="17">
        <v>4164.33</v>
      </c>
      <c r="P662" s="18">
        <v>0.42709999999999998</v>
      </c>
      <c r="Q662" s="17">
        <v>429.01</v>
      </c>
      <c r="R662" s="15" t="s">
        <v>23</v>
      </c>
    </row>
    <row r="663" spans="1:18" ht="14.25" customHeight="1" x14ac:dyDescent="0.3">
      <c r="A663" s="14">
        <v>45748</v>
      </c>
      <c r="B663" s="15">
        <v>2025</v>
      </c>
      <c r="C663" s="15" t="s">
        <v>41</v>
      </c>
      <c r="D663" s="15" t="s">
        <v>24</v>
      </c>
      <c r="E663" s="15" t="s">
        <v>25</v>
      </c>
      <c r="F663" s="15" t="s">
        <v>26</v>
      </c>
      <c r="G663" s="15" t="s">
        <v>35</v>
      </c>
      <c r="H663" s="16">
        <v>746</v>
      </c>
      <c r="I663" s="17">
        <v>11.77</v>
      </c>
      <c r="J663" s="18">
        <v>5.5E-2</v>
      </c>
      <c r="K663" s="17">
        <v>8777.44</v>
      </c>
      <c r="L663" s="17">
        <v>8294.68</v>
      </c>
      <c r="M663" s="17">
        <v>6.11</v>
      </c>
      <c r="N663" s="17">
        <v>4554.78</v>
      </c>
      <c r="O663" s="17">
        <v>3739.9</v>
      </c>
      <c r="P663" s="18">
        <v>0.45090000000000002</v>
      </c>
      <c r="Q663" s="17">
        <v>375.99</v>
      </c>
      <c r="R663" s="15" t="s">
        <v>23</v>
      </c>
    </row>
    <row r="664" spans="1:18" ht="14.25" customHeight="1" x14ac:dyDescent="0.3">
      <c r="A664" s="14">
        <v>45748</v>
      </c>
      <c r="B664" s="15">
        <v>2025</v>
      </c>
      <c r="C664" s="15" t="s">
        <v>41</v>
      </c>
      <c r="D664" s="15" t="s">
        <v>27</v>
      </c>
      <c r="E664" s="15" t="s">
        <v>31</v>
      </c>
      <c r="F664" s="15" t="s">
        <v>32</v>
      </c>
      <c r="G664" s="15" t="s">
        <v>35</v>
      </c>
      <c r="H664" s="16">
        <v>1196</v>
      </c>
      <c r="I664" s="17">
        <v>11.89</v>
      </c>
      <c r="J664" s="18">
        <v>0.12</v>
      </c>
      <c r="K664" s="17">
        <v>14214.76</v>
      </c>
      <c r="L664" s="17">
        <v>12508.99</v>
      </c>
      <c r="M664" s="17">
        <v>6.11</v>
      </c>
      <c r="N664" s="17">
        <v>7302.3</v>
      </c>
      <c r="O664" s="17">
        <v>5206.6899999999996</v>
      </c>
      <c r="P664" s="18">
        <v>0.41620000000000001</v>
      </c>
      <c r="Q664" s="17">
        <v>287.56</v>
      </c>
      <c r="R664" s="15" t="s">
        <v>23</v>
      </c>
    </row>
    <row r="665" spans="1:18" ht="14.25" customHeight="1" x14ac:dyDescent="0.3">
      <c r="A665" s="14">
        <v>45748</v>
      </c>
      <c r="B665" s="15">
        <v>2025</v>
      </c>
      <c r="C665" s="15" t="s">
        <v>41</v>
      </c>
      <c r="D665" s="15" t="s">
        <v>30</v>
      </c>
      <c r="E665" s="15" t="s">
        <v>20</v>
      </c>
      <c r="F665" s="15" t="s">
        <v>26</v>
      </c>
      <c r="G665" s="15" t="s">
        <v>35</v>
      </c>
      <c r="H665" s="16">
        <v>677</v>
      </c>
      <c r="I665" s="17">
        <v>11.54</v>
      </c>
      <c r="J665" s="18">
        <v>8.5000000000000006E-2</v>
      </c>
      <c r="K665" s="17">
        <v>7809.5</v>
      </c>
      <c r="L665" s="17">
        <v>7145.69</v>
      </c>
      <c r="M665" s="17">
        <v>6.11</v>
      </c>
      <c r="N665" s="17">
        <v>4133.49</v>
      </c>
      <c r="O665" s="17">
        <v>3012.2</v>
      </c>
      <c r="P665" s="18">
        <v>0.42149999999999999</v>
      </c>
      <c r="Q665" s="17">
        <v>356.39</v>
      </c>
      <c r="R665" s="15" t="s">
        <v>23</v>
      </c>
    </row>
    <row r="666" spans="1:18" ht="14.25" customHeight="1" x14ac:dyDescent="0.3">
      <c r="A666" s="14">
        <v>45748</v>
      </c>
      <c r="B666" s="15">
        <v>2025</v>
      </c>
      <c r="C666" s="15" t="s">
        <v>41</v>
      </c>
      <c r="D666" s="15" t="s">
        <v>19</v>
      </c>
      <c r="E666" s="15" t="s">
        <v>28</v>
      </c>
      <c r="F666" s="15" t="s">
        <v>32</v>
      </c>
      <c r="G666" s="15" t="s">
        <v>36</v>
      </c>
      <c r="H666" s="16">
        <v>180</v>
      </c>
      <c r="I666" s="17">
        <v>70.73</v>
      </c>
      <c r="J666" s="18">
        <v>2.5000000000000001E-2</v>
      </c>
      <c r="K666" s="17">
        <v>12731.61</v>
      </c>
      <c r="L666" s="17">
        <v>12413.32</v>
      </c>
      <c r="M666" s="17">
        <v>15.7</v>
      </c>
      <c r="N666" s="17">
        <v>2826.23</v>
      </c>
      <c r="O666" s="17">
        <v>9587.1</v>
      </c>
      <c r="P666" s="18">
        <v>0.77229999999999999</v>
      </c>
      <c r="Q666" s="17">
        <v>442.48</v>
      </c>
      <c r="R666" s="15" t="s">
        <v>23</v>
      </c>
    </row>
    <row r="667" spans="1:18" ht="14.25" customHeight="1" x14ac:dyDescent="0.3">
      <c r="A667" s="14">
        <v>45748</v>
      </c>
      <c r="B667" s="15">
        <v>2025</v>
      </c>
      <c r="C667" s="15" t="s">
        <v>41</v>
      </c>
      <c r="D667" s="15" t="s">
        <v>24</v>
      </c>
      <c r="E667" s="15" t="s">
        <v>31</v>
      </c>
      <c r="F667" s="15" t="s">
        <v>32</v>
      </c>
      <c r="G667" s="15" t="s">
        <v>36</v>
      </c>
      <c r="H667" s="16">
        <v>379</v>
      </c>
      <c r="I667" s="17">
        <v>71.45</v>
      </c>
      <c r="J667" s="18">
        <v>0.105</v>
      </c>
      <c r="K667" s="17">
        <v>27078.28</v>
      </c>
      <c r="L667" s="17">
        <v>24235.06</v>
      </c>
      <c r="M667" s="17">
        <v>15.7</v>
      </c>
      <c r="N667" s="17">
        <v>5950.77</v>
      </c>
      <c r="O667" s="17">
        <v>18284.28</v>
      </c>
      <c r="P667" s="18">
        <v>0.75449999999999995</v>
      </c>
      <c r="Q667" s="17">
        <v>401.67</v>
      </c>
      <c r="R667" s="15" t="s">
        <v>23</v>
      </c>
    </row>
    <row r="668" spans="1:18" ht="14.25" customHeight="1" x14ac:dyDescent="0.3">
      <c r="A668" s="14">
        <v>45748</v>
      </c>
      <c r="B668" s="15">
        <v>2025</v>
      </c>
      <c r="C668" s="15" t="s">
        <v>41</v>
      </c>
      <c r="D668" s="15" t="s">
        <v>27</v>
      </c>
      <c r="E668" s="15" t="s">
        <v>20</v>
      </c>
      <c r="F668" s="15" t="s">
        <v>26</v>
      </c>
      <c r="G668" s="15" t="s">
        <v>36</v>
      </c>
      <c r="H668" s="16">
        <v>357</v>
      </c>
      <c r="I668" s="17">
        <v>72.150000000000006</v>
      </c>
      <c r="J668" s="18">
        <v>7.0000000000000007E-2</v>
      </c>
      <c r="K668" s="17">
        <v>25759.05</v>
      </c>
      <c r="L668" s="17">
        <v>23955.919999999998</v>
      </c>
      <c r="M668" s="17">
        <v>15.7</v>
      </c>
      <c r="N668" s="17">
        <v>5605.35</v>
      </c>
      <c r="O668" s="17">
        <v>18350.57</v>
      </c>
      <c r="P668" s="18">
        <v>0.76600000000000001</v>
      </c>
      <c r="Q668" s="17">
        <v>668.57</v>
      </c>
      <c r="R668" s="15" t="s">
        <v>23</v>
      </c>
    </row>
    <row r="669" spans="1:18" ht="14.25" customHeight="1" x14ac:dyDescent="0.3">
      <c r="A669" s="14">
        <v>45748</v>
      </c>
      <c r="B669" s="15">
        <v>2025</v>
      </c>
      <c r="C669" s="15" t="s">
        <v>41</v>
      </c>
      <c r="D669" s="15" t="s">
        <v>30</v>
      </c>
      <c r="E669" s="15" t="s">
        <v>28</v>
      </c>
      <c r="F669" s="15" t="s">
        <v>29</v>
      </c>
      <c r="G669" s="15" t="s">
        <v>36</v>
      </c>
      <c r="H669" s="16">
        <v>138</v>
      </c>
      <c r="I669" s="17">
        <v>70.02</v>
      </c>
      <c r="J669" s="18">
        <v>2.5000000000000001E-2</v>
      </c>
      <c r="K669" s="17">
        <v>9663.26</v>
      </c>
      <c r="L669" s="17">
        <v>9421.67</v>
      </c>
      <c r="M669" s="17">
        <v>15.7</v>
      </c>
      <c r="N669" s="17">
        <v>2166.77</v>
      </c>
      <c r="O669" s="17">
        <v>7254.9</v>
      </c>
      <c r="P669" s="18">
        <v>0.77</v>
      </c>
      <c r="Q669" s="17">
        <v>373.12</v>
      </c>
      <c r="R669" s="15" t="s">
        <v>23</v>
      </c>
    </row>
    <row r="670" spans="1:18" ht="14.25" customHeight="1" x14ac:dyDescent="0.3">
      <c r="A670" s="14">
        <v>45748</v>
      </c>
      <c r="B670" s="15">
        <v>2025</v>
      </c>
      <c r="C670" s="15" t="s">
        <v>41</v>
      </c>
      <c r="D670" s="15" t="s">
        <v>19</v>
      </c>
      <c r="E670" s="15" t="s">
        <v>28</v>
      </c>
      <c r="F670" s="15" t="s">
        <v>29</v>
      </c>
      <c r="G670" s="15" t="s">
        <v>37</v>
      </c>
      <c r="H670" s="16">
        <v>140</v>
      </c>
      <c r="I670" s="17">
        <v>54.09</v>
      </c>
      <c r="J670" s="18">
        <v>2.5000000000000001E-2</v>
      </c>
      <c r="K670" s="17">
        <v>7572.85</v>
      </c>
      <c r="L670" s="17">
        <v>7383.53</v>
      </c>
      <c r="M670" s="17">
        <v>7.85</v>
      </c>
      <c r="N670" s="17">
        <v>1098.53</v>
      </c>
      <c r="O670" s="17">
        <v>6285</v>
      </c>
      <c r="P670" s="18">
        <v>0.85119999999999996</v>
      </c>
      <c r="Q670" s="17">
        <v>261.93</v>
      </c>
      <c r="R670" s="15" t="s">
        <v>23</v>
      </c>
    </row>
    <row r="671" spans="1:18" ht="14.25" customHeight="1" x14ac:dyDescent="0.3">
      <c r="A671" s="14">
        <v>45748</v>
      </c>
      <c r="B671" s="15">
        <v>2025</v>
      </c>
      <c r="C671" s="15" t="s">
        <v>41</v>
      </c>
      <c r="D671" s="15" t="s">
        <v>24</v>
      </c>
      <c r="E671" s="15" t="s">
        <v>20</v>
      </c>
      <c r="F671" s="15" t="s">
        <v>26</v>
      </c>
      <c r="G671" s="15" t="s">
        <v>37</v>
      </c>
      <c r="H671" s="16">
        <v>277</v>
      </c>
      <c r="I671" s="17">
        <v>54.63</v>
      </c>
      <c r="J671" s="18">
        <v>7.0000000000000007E-2</v>
      </c>
      <c r="K671" s="17">
        <v>15133.17</v>
      </c>
      <c r="L671" s="17">
        <v>14073.85</v>
      </c>
      <c r="M671" s="17">
        <v>7.85</v>
      </c>
      <c r="N671" s="17">
        <v>2173.52</v>
      </c>
      <c r="O671" s="17">
        <v>11900.33</v>
      </c>
      <c r="P671" s="18">
        <v>0.84560000000000002</v>
      </c>
      <c r="Q671" s="17">
        <v>397.95</v>
      </c>
      <c r="R671" s="15" t="s">
        <v>23</v>
      </c>
    </row>
    <row r="672" spans="1:18" ht="14.25" customHeight="1" x14ac:dyDescent="0.3">
      <c r="A672" s="14">
        <v>45748</v>
      </c>
      <c r="B672" s="15">
        <v>2025</v>
      </c>
      <c r="C672" s="15" t="s">
        <v>41</v>
      </c>
      <c r="D672" s="15" t="s">
        <v>27</v>
      </c>
      <c r="E672" s="15" t="s">
        <v>25</v>
      </c>
      <c r="F672" s="15" t="s">
        <v>21</v>
      </c>
      <c r="G672" s="15" t="s">
        <v>37</v>
      </c>
      <c r="H672" s="16">
        <v>240</v>
      </c>
      <c r="I672" s="17">
        <v>55.18</v>
      </c>
      <c r="J672" s="18">
        <v>0.04</v>
      </c>
      <c r="K672" s="17">
        <v>13243.43</v>
      </c>
      <c r="L672" s="17">
        <v>12713.69</v>
      </c>
      <c r="M672" s="17">
        <v>7.85</v>
      </c>
      <c r="N672" s="17">
        <v>1883.2</v>
      </c>
      <c r="O672" s="17">
        <v>10830.49</v>
      </c>
      <c r="P672" s="18">
        <v>0.85189999999999999</v>
      </c>
      <c r="Q672" s="17">
        <v>345.82</v>
      </c>
      <c r="R672" s="15" t="s">
        <v>23</v>
      </c>
    </row>
    <row r="673" spans="1:18" ht="14.25" customHeight="1" x14ac:dyDescent="0.3">
      <c r="A673" s="14">
        <v>45748</v>
      </c>
      <c r="B673" s="15">
        <v>2025</v>
      </c>
      <c r="C673" s="15" t="s">
        <v>41</v>
      </c>
      <c r="D673" s="15" t="s">
        <v>30</v>
      </c>
      <c r="E673" s="15" t="s">
        <v>28</v>
      </c>
      <c r="F673" s="15" t="s">
        <v>32</v>
      </c>
      <c r="G673" s="15" t="s">
        <v>37</v>
      </c>
      <c r="H673" s="16">
        <v>114</v>
      </c>
      <c r="I673" s="17">
        <v>53.54</v>
      </c>
      <c r="J673" s="18">
        <v>2.5000000000000001E-2</v>
      </c>
      <c r="K673" s="17">
        <v>6103.93</v>
      </c>
      <c r="L673" s="17">
        <v>5951.33</v>
      </c>
      <c r="M673" s="17">
        <v>7.85</v>
      </c>
      <c r="N673" s="17">
        <v>894.52</v>
      </c>
      <c r="O673" s="17">
        <v>5056.8100000000004</v>
      </c>
      <c r="P673" s="18">
        <v>0.84970000000000001</v>
      </c>
      <c r="Q673" s="17">
        <v>233.95</v>
      </c>
      <c r="R673" s="15" t="s">
        <v>23</v>
      </c>
    </row>
    <row r="674" spans="1:18" ht="14.25" customHeight="1" x14ac:dyDescent="0.3">
      <c r="A674" s="14">
        <v>45778</v>
      </c>
      <c r="B674" s="15">
        <v>2025</v>
      </c>
      <c r="C674" s="15" t="s">
        <v>42</v>
      </c>
      <c r="D674" s="15" t="s">
        <v>19</v>
      </c>
      <c r="E674" s="15" t="s">
        <v>20</v>
      </c>
      <c r="F674" s="15" t="s">
        <v>21</v>
      </c>
      <c r="G674" s="15" t="s">
        <v>22</v>
      </c>
      <c r="H674" s="16">
        <v>195</v>
      </c>
      <c r="I674" s="17">
        <v>515.94000000000005</v>
      </c>
      <c r="J674" s="18">
        <v>8.5000000000000006E-2</v>
      </c>
      <c r="K674" s="17">
        <v>100608.12</v>
      </c>
      <c r="L674" s="17">
        <v>92056.44</v>
      </c>
      <c r="M674" s="17">
        <v>405.53</v>
      </c>
      <c r="N674" s="17">
        <v>79078.25</v>
      </c>
      <c r="O674" s="17">
        <v>12978.18</v>
      </c>
      <c r="P674" s="18">
        <v>0.14099999999999999</v>
      </c>
      <c r="Q674" s="17">
        <v>1235.5</v>
      </c>
      <c r="R674" s="15" t="s">
        <v>23</v>
      </c>
    </row>
    <row r="675" spans="1:18" ht="14.25" customHeight="1" x14ac:dyDescent="0.3">
      <c r="A675" s="14">
        <v>45778</v>
      </c>
      <c r="B675" s="15">
        <v>2025</v>
      </c>
      <c r="C675" s="15" t="s">
        <v>42</v>
      </c>
      <c r="D675" s="15" t="s">
        <v>24</v>
      </c>
      <c r="E675" s="15" t="s">
        <v>25</v>
      </c>
      <c r="F675" s="15" t="s">
        <v>26</v>
      </c>
      <c r="G675" s="15" t="s">
        <v>22</v>
      </c>
      <c r="H675" s="16">
        <v>177</v>
      </c>
      <c r="I675" s="17">
        <v>521.12</v>
      </c>
      <c r="J675" s="18">
        <v>5.5E-2</v>
      </c>
      <c r="K675" s="17">
        <v>92238.68</v>
      </c>
      <c r="L675" s="17">
        <v>87165.56</v>
      </c>
      <c r="M675" s="17">
        <v>405.53</v>
      </c>
      <c r="N675" s="17">
        <v>71778.720000000001</v>
      </c>
      <c r="O675" s="17">
        <v>15386.84</v>
      </c>
      <c r="P675" s="18">
        <v>0.17649999999999999</v>
      </c>
      <c r="Q675" s="17">
        <v>1187.17</v>
      </c>
      <c r="R675" s="15" t="s">
        <v>23</v>
      </c>
    </row>
    <row r="676" spans="1:18" ht="14.25" customHeight="1" x14ac:dyDescent="0.3">
      <c r="A676" s="14">
        <v>45778</v>
      </c>
      <c r="B676" s="15">
        <v>2025</v>
      </c>
      <c r="C676" s="15" t="s">
        <v>42</v>
      </c>
      <c r="D676" s="15" t="s">
        <v>27</v>
      </c>
      <c r="E676" s="15" t="s">
        <v>28</v>
      </c>
      <c r="F676" s="15" t="s">
        <v>29</v>
      </c>
      <c r="G676" s="15" t="s">
        <v>22</v>
      </c>
      <c r="H676" s="16">
        <v>127</v>
      </c>
      <c r="I676" s="17">
        <v>526.30999999999995</v>
      </c>
      <c r="J676" s="18">
        <v>0.04</v>
      </c>
      <c r="K676" s="17">
        <v>66840.850000000006</v>
      </c>
      <c r="L676" s="17">
        <v>64167.22</v>
      </c>
      <c r="M676" s="17">
        <v>405.53</v>
      </c>
      <c r="N676" s="17">
        <v>51502.25</v>
      </c>
      <c r="O676" s="17">
        <v>12664.97</v>
      </c>
      <c r="P676" s="18">
        <v>0.19739999999999999</v>
      </c>
      <c r="Q676" s="17">
        <v>989.84</v>
      </c>
      <c r="R676" s="15" t="s">
        <v>23</v>
      </c>
    </row>
    <row r="677" spans="1:18" ht="14.25" customHeight="1" x14ac:dyDescent="0.3">
      <c r="A677" s="14">
        <v>45778</v>
      </c>
      <c r="B677" s="15">
        <v>2025</v>
      </c>
      <c r="C677" s="15" t="s">
        <v>42</v>
      </c>
      <c r="D677" s="15" t="s">
        <v>30</v>
      </c>
      <c r="E677" s="15" t="s">
        <v>31</v>
      </c>
      <c r="F677" s="15" t="s">
        <v>32</v>
      </c>
      <c r="G677" s="15" t="s">
        <v>22</v>
      </c>
      <c r="H677" s="16">
        <v>159</v>
      </c>
      <c r="I677" s="17">
        <v>510.76</v>
      </c>
      <c r="J677" s="18">
        <v>0.12</v>
      </c>
      <c r="K677" s="17">
        <v>81210.16</v>
      </c>
      <c r="L677" s="17">
        <v>71464.929999999993</v>
      </c>
      <c r="M677" s="17">
        <v>405.53</v>
      </c>
      <c r="N677" s="17">
        <v>64479.19</v>
      </c>
      <c r="O677" s="17">
        <v>6985.74</v>
      </c>
      <c r="P677" s="18">
        <v>9.7799999999999998E-2</v>
      </c>
      <c r="Q677" s="17">
        <v>699.97</v>
      </c>
      <c r="R677" s="15" t="s">
        <v>23</v>
      </c>
    </row>
    <row r="678" spans="1:18" ht="14.25" customHeight="1" x14ac:dyDescent="0.3">
      <c r="A678" s="14">
        <v>45778</v>
      </c>
      <c r="B678" s="15">
        <v>2025</v>
      </c>
      <c r="C678" s="15" t="s">
        <v>42</v>
      </c>
      <c r="D678" s="15" t="s">
        <v>19</v>
      </c>
      <c r="E678" s="15" t="s">
        <v>25</v>
      </c>
      <c r="F678" s="15" t="s">
        <v>26</v>
      </c>
      <c r="G678" s="15" t="s">
        <v>33</v>
      </c>
      <c r="H678" s="16">
        <v>107</v>
      </c>
      <c r="I678" s="17">
        <v>732.3</v>
      </c>
      <c r="J678" s="18">
        <v>5.5E-2</v>
      </c>
      <c r="K678" s="17">
        <v>78355.92</v>
      </c>
      <c r="L678" s="17">
        <v>74046.350000000006</v>
      </c>
      <c r="M678" s="17">
        <v>601.76</v>
      </c>
      <c r="N678" s="17">
        <v>64388.25</v>
      </c>
      <c r="O678" s="17">
        <v>9658.1</v>
      </c>
      <c r="P678" s="18">
        <v>0.13039999999999999</v>
      </c>
      <c r="Q678" s="17">
        <v>1085.06</v>
      </c>
      <c r="R678" s="15" t="s">
        <v>23</v>
      </c>
    </row>
    <row r="679" spans="1:18" ht="14.25" customHeight="1" x14ac:dyDescent="0.3">
      <c r="A679" s="14">
        <v>45778</v>
      </c>
      <c r="B679" s="15">
        <v>2025</v>
      </c>
      <c r="C679" s="15" t="s">
        <v>42</v>
      </c>
      <c r="D679" s="15" t="s">
        <v>24</v>
      </c>
      <c r="E679" s="15" t="s">
        <v>28</v>
      </c>
      <c r="F679" s="15" t="s">
        <v>29</v>
      </c>
      <c r="G679" s="15" t="s">
        <v>33</v>
      </c>
      <c r="H679" s="16">
        <v>80</v>
      </c>
      <c r="I679" s="17">
        <v>739.66</v>
      </c>
      <c r="J679" s="18">
        <v>0.04</v>
      </c>
      <c r="K679" s="17">
        <v>59172.800000000003</v>
      </c>
      <c r="L679" s="17">
        <v>56805.89</v>
      </c>
      <c r="M679" s="17">
        <v>601.76</v>
      </c>
      <c r="N679" s="17">
        <v>48140.75</v>
      </c>
      <c r="O679" s="17">
        <v>8665.14</v>
      </c>
      <c r="P679" s="18">
        <v>0.1525</v>
      </c>
      <c r="Q679" s="17">
        <v>943.35</v>
      </c>
      <c r="R679" s="15" t="s">
        <v>23</v>
      </c>
    </row>
    <row r="680" spans="1:18" ht="14.25" customHeight="1" x14ac:dyDescent="0.3">
      <c r="A680" s="14">
        <v>45778</v>
      </c>
      <c r="B680" s="15">
        <v>2025</v>
      </c>
      <c r="C680" s="15" t="s">
        <v>42</v>
      </c>
      <c r="D680" s="15" t="s">
        <v>27</v>
      </c>
      <c r="E680" s="15" t="s">
        <v>31</v>
      </c>
      <c r="F680" s="15" t="s">
        <v>32</v>
      </c>
      <c r="G680" s="15" t="s">
        <v>33</v>
      </c>
      <c r="H680" s="16">
        <v>157</v>
      </c>
      <c r="I680" s="17">
        <v>747.02</v>
      </c>
      <c r="J680" s="18">
        <v>0.12</v>
      </c>
      <c r="K680" s="17">
        <v>117282.41</v>
      </c>
      <c r="L680" s="17">
        <v>103208.52</v>
      </c>
      <c r="M680" s="17">
        <v>601.76</v>
      </c>
      <c r="N680" s="17">
        <v>94476.22</v>
      </c>
      <c r="O680" s="17">
        <v>8732.2999999999993</v>
      </c>
      <c r="P680" s="18">
        <v>8.4599999999999995E-2</v>
      </c>
      <c r="Q680" s="17">
        <v>898.95</v>
      </c>
      <c r="R680" s="15" t="s">
        <v>23</v>
      </c>
    </row>
    <row r="681" spans="1:18" ht="14.25" customHeight="1" x14ac:dyDescent="0.3">
      <c r="A681" s="14">
        <v>45778</v>
      </c>
      <c r="B681" s="15">
        <v>2025</v>
      </c>
      <c r="C681" s="15" t="s">
        <v>42</v>
      </c>
      <c r="D681" s="15" t="s">
        <v>30</v>
      </c>
      <c r="E681" s="15" t="s">
        <v>20</v>
      </c>
      <c r="F681" s="15" t="s">
        <v>21</v>
      </c>
      <c r="G681" s="15" t="s">
        <v>33</v>
      </c>
      <c r="H681" s="16">
        <v>101</v>
      </c>
      <c r="I681" s="17">
        <v>724.94</v>
      </c>
      <c r="J681" s="18">
        <v>8.5000000000000006E-2</v>
      </c>
      <c r="K681" s="17">
        <v>73218.600000000006</v>
      </c>
      <c r="L681" s="17">
        <v>66995.02</v>
      </c>
      <c r="M681" s="17">
        <v>601.76</v>
      </c>
      <c r="N681" s="17">
        <v>60777.69</v>
      </c>
      <c r="O681" s="17">
        <v>6217.33</v>
      </c>
      <c r="P681" s="18">
        <v>9.2799999999999994E-2</v>
      </c>
      <c r="Q681" s="17">
        <v>1103.6600000000001</v>
      </c>
      <c r="R681" s="15" t="s">
        <v>23</v>
      </c>
    </row>
    <row r="682" spans="1:18" ht="14.25" customHeight="1" x14ac:dyDescent="0.3">
      <c r="A682" s="14">
        <v>45778</v>
      </c>
      <c r="B682" s="15">
        <v>2025</v>
      </c>
      <c r="C682" s="15" t="s">
        <v>42</v>
      </c>
      <c r="D682" s="15" t="s">
        <v>19</v>
      </c>
      <c r="E682" s="15" t="s">
        <v>20</v>
      </c>
      <c r="F682" s="15" t="s">
        <v>21</v>
      </c>
      <c r="G682" s="15" t="s">
        <v>34</v>
      </c>
      <c r="H682" s="16">
        <v>244</v>
      </c>
      <c r="I682" s="17">
        <v>233.01</v>
      </c>
      <c r="J682" s="18">
        <v>8.5000000000000006E-2</v>
      </c>
      <c r="K682" s="17">
        <v>56853.599999999999</v>
      </c>
      <c r="L682" s="17">
        <v>52021.04</v>
      </c>
      <c r="M682" s="17">
        <v>165.7</v>
      </c>
      <c r="N682" s="17">
        <v>40431.25</v>
      </c>
      <c r="O682" s="17">
        <v>11589.79</v>
      </c>
      <c r="P682" s="18">
        <v>0.2228</v>
      </c>
      <c r="Q682" s="17">
        <v>903.03</v>
      </c>
      <c r="R682" s="15" t="s">
        <v>23</v>
      </c>
    </row>
    <row r="683" spans="1:18" ht="14.25" customHeight="1" x14ac:dyDescent="0.3">
      <c r="A683" s="14">
        <v>45778</v>
      </c>
      <c r="B683" s="15">
        <v>2025</v>
      </c>
      <c r="C683" s="15" t="s">
        <v>42</v>
      </c>
      <c r="D683" s="15" t="s">
        <v>24</v>
      </c>
      <c r="E683" s="15" t="s">
        <v>25</v>
      </c>
      <c r="F683" s="15" t="s">
        <v>26</v>
      </c>
      <c r="G683" s="15" t="s">
        <v>34</v>
      </c>
      <c r="H683" s="16">
        <v>240</v>
      </c>
      <c r="I683" s="17">
        <v>235.34</v>
      </c>
      <c r="J683" s="18">
        <v>5.5E-2</v>
      </c>
      <c r="K683" s="17">
        <v>56482.52</v>
      </c>
      <c r="L683" s="17">
        <v>53375.98</v>
      </c>
      <c r="M683" s="17">
        <v>165.7</v>
      </c>
      <c r="N683" s="17">
        <v>39768.44</v>
      </c>
      <c r="O683" s="17">
        <v>13607.54</v>
      </c>
      <c r="P683" s="18">
        <v>0.25490000000000002</v>
      </c>
      <c r="Q683" s="17">
        <v>790.42</v>
      </c>
      <c r="R683" s="15" t="s">
        <v>23</v>
      </c>
    </row>
    <row r="684" spans="1:18" ht="14.25" customHeight="1" x14ac:dyDescent="0.3">
      <c r="A684" s="14">
        <v>45778</v>
      </c>
      <c r="B684" s="15">
        <v>2025</v>
      </c>
      <c r="C684" s="15" t="s">
        <v>42</v>
      </c>
      <c r="D684" s="15" t="s">
        <v>27</v>
      </c>
      <c r="E684" s="15" t="s">
        <v>31</v>
      </c>
      <c r="F684" s="15" t="s">
        <v>32</v>
      </c>
      <c r="G684" s="15" t="s">
        <v>34</v>
      </c>
      <c r="H684" s="16">
        <v>348</v>
      </c>
      <c r="I684" s="17">
        <v>237.69</v>
      </c>
      <c r="J684" s="18">
        <v>0.12</v>
      </c>
      <c r="K684" s="17">
        <v>82715.81</v>
      </c>
      <c r="L684" s="17">
        <v>72789.91</v>
      </c>
      <c r="M684" s="17">
        <v>165.7</v>
      </c>
      <c r="N684" s="17">
        <v>57664.24</v>
      </c>
      <c r="O684" s="17">
        <v>15125.67</v>
      </c>
      <c r="P684" s="18">
        <v>0.20780000000000001</v>
      </c>
      <c r="Q684" s="17">
        <v>614.16</v>
      </c>
      <c r="R684" s="15" t="s">
        <v>23</v>
      </c>
    </row>
    <row r="685" spans="1:18" ht="14.25" customHeight="1" x14ac:dyDescent="0.3">
      <c r="A685" s="14">
        <v>45778</v>
      </c>
      <c r="B685" s="15">
        <v>2025</v>
      </c>
      <c r="C685" s="15" t="s">
        <v>42</v>
      </c>
      <c r="D685" s="15" t="s">
        <v>30</v>
      </c>
      <c r="E685" s="15" t="s">
        <v>20</v>
      </c>
      <c r="F685" s="15" t="s">
        <v>26</v>
      </c>
      <c r="G685" s="15" t="s">
        <v>34</v>
      </c>
      <c r="H685" s="16">
        <v>210</v>
      </c>
      <c r="I685" s="17">
        <v>230.66</v>
      </c>
      <c r="J685" s="18">
        <v>8.5000000000000006E-2</v>
      </c>
      <c r="K685" s="17">
        <v>48438.87</v>
      </c>
      <c r="L685" s="17">
        <v>44321.57</v>
      </c>
      <c r="M685" s="17">
        <v>165.7</v>
      </c>
      <c r="N685" s="17">
        <v>34797.39</v>
      </c>
      <c r="O685" s="17">
        <v>9524.18</v>
      </c>
      <c r="P685" s="18">
        <v>0.21490000000000001</v>
      </c>
      <c r="Q685" s="17">
        <v>751.46</v>
      </c>
      <c r="R685" s="15" t="s">
        <v>23</v>
      </c>
    </row>
    <row r="686" spans="1:18" ht="14.25" customHeight="1" x14ac:dyDescent="0.3">
      <c r="A686" s="14">
        <v>45778</v>
      </c>
      <c r="B686" s="15">
        <v>2025</v>
      </c>
      <c r="C686" s="15" t="s">
        <v>42</v>
      </c>
      <c r="D686" s="15" t="s">
        <v>19</v>
      </c>
      <c r="E686" s="15" t="s">
        <v>25</v>
      </c>
      <c r="F686" s="15" t="s">
        <v>26</v>
      </c>
      <c r="G686" s="15" t="s">
        <v>35</v>
      </c>
      <c r="H686" s="16">
        <v>745</v>
      </c>
      <c r="I686" s="17">
        <v>11.65</v>
      </c>
      <c r="J686" s="18">
        <v>5.5E-2</v>
      </c>
      <c r="K686" s="17">
        <v>8676.83</v>
      </c>
      <c r="L686" s="17">
        <v>8199.61</v>
      </c>
      <c r="M686" s="17">
        <v>6.11</v>
      </c>
      <c r="N686" s="17">
        <v>4548.67</v>
      </c>
      <c r="O686" s="17">
        <v>3650.93</v>
      </c>
      <c r="P686" s="18">
        <v>0.44529999999999997</v>
      </c>
      <c r="Q686" s="17">
        <v>365.34</v>
      </c>
      <c r="R686" s="15" t="s">
        <v>23</v>
      </c>
    </row>
    <row r="687" spans="1:18" ht="14.25" customHeight="1" x14ac:dyDescent="0.3">
      <c r="A687" s="14">
        <v>45778</v>
      </c>
      <c r="B687" s="15">
        <v>2025</v>
      </c>
      <c r="C687" s="15" t="s">
        <v>42</v>
      </c>
      <c r="D687" s="15" t="s">
        <v>24</v>
      </c>
      <c r="E687" s="15" t="s">
        <v>31</v>
      </c>
      <c r="F687" s="15" t="s">
        <v>32</v>
      </c>
      <c r="G687" s="15" t="s">
        <v>35</v>
      </c>
      <c r="H687" s="16">
        <v>1072</v>
      </c>
      <c r="I687" s="17">
        <v>11.77</v>
      </c>
      <c r="J687" s="18">
        <v>0.12</v>
      </c>
      <c r="K687" s="17">
        <v>12613.15</v>
      </c>
      <c r="L687" s="17">
        <v>11099.58</v>
      </c>
      <c r="M687" s="17">
        <v>6.11</v>
      </c>
      <c r="N687" s="17">
        <v>6545.2</v>
      </c>
      <c r="O687" s="17">
        <v>4554.37</v>
      </c>
      <c r="P687" s="18">
        <v>0.4103</v>
      </c>
      <c r="Q687" s="17">
        <v>284.60000000000002</v>
      </c>
      <c r="R687" s="15" t="s">
        <v>23</v>
      </c>
    </row>
    <row r="688" spans="1:18" ht="14.25" customHeight="1" x14ac:dyDescent="0.3">
      <c r="A688" s="14">
        <v>45778</v>
      </c>
      <c r="B688" s="15">
        <v>2025</v>
      </c>
      <c r="C688" s="15" t="s">
        <v>42</v>
      </c>
      <c r="D688" s="15" t="s">
        <v>27</v>
      </c>
      <c r="E688" s="15" t="s">
        <v>20</v>
      </c>
      <c r="F688" s="15" t="s">
        <v>26</v>
      </c>
      <c r="G688" s="15" t="s">
        <v>35</v>
      </c>
      <c r="H688" s="16">
        <v>1070</v>
      </c>
      <c r="I688" s="17">
        <v>11.89</v>
      </c>
      <c r="J688" s="18">
        <v>8.5000000000000006E-2</v>
      </c>
      <c r="K688" s="17">
        <v>12717.22</v>
      </c>
      <c r="L688" s="17">
        <v>11636.26</v>
      </c>
      <c r="M688" s="17">
        <v>6.11</v>
      </c>
      <c r="N688" s="17">
        <v>6532.99</v>
      </c>
      <c r="O688" s="17">
        <v>5103.26</v>
      </c>
      <c r="P688" s="18">
        <v>0.43859999999999999</v>
      </c>
      <c r="Q688" s="17">
        <v>448.53</v>
      </c>
      <c r="R688" s="15" t="s">
        <v>23</v>
      </c>
    </row>
    <row r="689" spans="1:18" ht="14.25" customHeight="1" x14ac:dyDescent="0.3">
      <c r="A689" s="14">
        <v>45778</v>
      </c>
      <c r="B689" s="15">
        <v>2025</v>
      </c>
      <c r="C689" s="15" t="s">
        <v>42</v>
      </c>
      <c r="D689" s="15" t="s">
        <v>30</v>
      </c>
      <c r="E689" s="15" t="s">
        <v>25</v>
      </c>
      <c r="F689" s="15" t="s">
        <v>21</v>
      </c>
      <c r="G689" s="15" t="s">
        <v>35</v>
      </c>
      <c r="H689" s="16">
        <v>555</v>
      </c>
      <c r="I689" s="17">
        <v>11.54</v>
      </c>
      <c r="J689" s="18">
        <v>5.5E-2</v>
      </c>
      <c r="K689" s="17">
        <v>6402.17</v>
      </c>
      <c r="L689" s="17">
        <v>6050.05</v>
      </c>
      <c r="M689" s="17">
        <v>6.11</v>
      </c>
      <c r="N689" s="17">
        <v>3388.61</v>
      </c>
      <c r="O689" s="17">
        <v>2661.45</v>
      </c>
      <c r="P689" s="18">
        <v>0.43990000000000001</v>
      </c>
      <c r="Q689" s="17">
        <v>310.45999999999998</v>
      </c>
      <c r="R689" s="15" t="s">
        <v>23</v>
      </c>
    </row>
    <row r="690" spans="1:18" ht="14.25" customHeight="1" x14ac:dyDescent="0.3">
      <c r="A690" s="14">
        <v>45778</v>
      </c>
      <c r="B690" s="15">
        <v>2025</v>
      </c>
      <c r="C690" s="15" t="s">
        <v>42</v>
      </c>
      <c r="D690" s="15" t="s">
        <v>19</v>
      </c>
      <c r="E690" s="15" t="s">
        <v>31</v>
      </c>
      <c r="F690" s="15" t="s">
        <v>32</v>
      </c>
      <c r="G690" s="15" t="s">
        <v>36</v>
      </c>
      <c r="H690" s="16">
        <v>338</v>
      </c>
      <c r="I690" s="17">
        <v>70.73</v>
      </c>
      <c r="J690" s="18">
        <v>0.105</v>
      </c>
      <c r="K690" s="17">
        <v>23907.13</v>
      </c>
      <c r="L690" s="17">
        <v>21396.880000000001</v>
      </c>
      <c r="M690" s="17">
        <v>15.7</v>
      </c>
      <c r="N690" s="17">
        <v>5307.02</v>
      </c>
      <c r="O690" s="17">
        <v>16089.85</v>
      </c>
      <c r="P690" s="18">
        <v>0.752</v>
      </c>
      <c r="Q690" s="17">
        <v>397.25</v>
      </c>
      <c r="R690" s="15" t="s">
        <v>23</v>
      </c>
    </row>
    <row r="691" spans="1:18" ht="14.25" customHeight="1" x14ac:dyDescent="0.3">
      <c r="A691" s="14">
        <v>45778</v>
      </c>
      <c r="B691" s="15">
        <v>2025</v>
      </c>
      <c r="C691" s="15" t="s">
        <v>42</v>
      </c>
      <c r="D691" s="15" t="s">
        <v>24</v>
      </c>
      <c r="E691" s="15" t="s">
        <v>20</v>
      </c>
      <c r="F691" s="15" t="s">
        <v>26</v>
      </c>
      <c r="G691" s="15" t="s">
        <v>36</v>
      </c>
      <c r="H691" s="16">
        <v>340</v>
      </c>
      <c r="I691" s="17">
        <v>71.45</v>
      </c>
      <c r="J691" s="18">
        <v>7.0000000000000007E-2</v>
      </c>
      <c r="K691" s="17">
        <v>24291.86</v>
      </c>
      <c r="L691" s="17">
        <v>22591.43</v>
      </c>
      <c r="M691" s="17">
        <v>15.7</v>
      </c>
      <c r="N691" s="17">
        <v>5338.43</v>
      </c>
      <c r="O691" s="17">
        <v>17253</v>
      </c>
      <c r="P691" s="18">
        <v>0.76370000000000005</v>
      </c>
      <c r="Q691" s="17">
        <v>624.80999999999995</v>
      </c>
      <c r="R691" s="15" t="s">
        <v>23</v>
      </c>
    </row>
    <row r="692" spans="1:18" ht="14.25" customHeight="1" x14ac:dyDescent="0.3">
      <c r="A692" s="14">
        <v>45778</v>
      </c>
      <c r="B692" s="15">
        <v>2025</v>
      </c>
      <c r="C692" s="15" t="s">
        <v>42</v>
      </c>
      <c r="D692" s="15" t="s">
        <v>27</v>
      </c>
      <c r="E692" s="15" t="s">
        <v>28</v>
      </c>
      <c r="F692" s="15" t="s">
        <v>29</v>
      </c>
      <c r="G692" s="15" t="s">
        <v>36</v>
      </c>
      <c r="H692" s="16">
        <v>226</v>
      </c>
      <c r="I692" s="17">
        <v>72.150000000000006</v>
      </c>
      <c r="J692" s="18">
        <v>2.5000000000000001E-2</v>
      </c>
      <c r="K692" s="17">
        <v>16306.85</v>
      </c>
      <c r="L692" s="17">
        <v>15899.18</v>
      </c>
      <c r="M692" s="17">
        <v>15.7</v>
      </c>
      <c r="N692" s="17">
        <v>3548.48</v>
      </c>
      <c r="O692" s="17">
        <v>12350.7</v>
      </c>
      <c r="P692" s="18">
        <v>0.77680000000000005</v>
      </c>
      <c r="Q692" s="17">
        <v>498.22</v>
      </c>
      <c r="R692" s="15" t="s">
        <v>23</v>
      </c>
    </row>
    <row r="693" spans="1:18" ht="14.25" customHeight="1" x14ac:dyDescent="0.3">
      <c r="A693" s="14">
        <v>45778</v>
      </c>
      <c r="B693" s="15">
        <v>2025</v>
      </c>
      <c r="C693" s="15" t="s">
        <v>42</v>
      </c>
      <c r="D693" s="15" t="s">
        <v>30</v>
      </c>
      <c r="E693" s="15" t="s">
        <v>31</v>
      </c>
      <c r="F693" s="15" t="s">
        <v>32</v>
      </c>
      <c r="G693" s="15" t="s">
        <v>36</v>
      </c>
      <c r="H693" s="16">
        <v>277</v>
      </c>
      <c r="I693" s="17">
        <v>70.02</v>
      </c>
      <c r="J693" s="18">
        <v>0.105</v>
      </c>
      <c r="K693" s="17">
        <v>19396.54</v>
      </c>
      <c r="L693" s="17">
        <v>17359.900000000001</v>
      </c>
      <c r="M693" s="17">
        <v>15.7</v>
      </c>
      <c r="N693" s="17">
        <v>4349.25</v>
      </c>
      <c r="O693" s="17">
        <v>13010.65</v>
      </c>
      <c r="P693" s="18">
        <v>0.74950000000000006</v>
      </c>
      <c r="Q693" s="17">
        <v>344.12</v>
      </c>
      <c r="R693" s="15" t="s">
        <v>23</v>
      </c>
    </row>
    <row r="694" spans="1:18" ht="14.25" customHeight="1" x14ac:dyDescent="0.3">
      <c r="A694" s="14">
        <v>45778</v>
      </c>
      <c r="B694" s="15">
        <v>2025</v>
      </c>
      <c r="C694" s="15" t="s">
        <v>42</v>
      </c>
      <c r="D694" s="15" t="s">
        <v>19</v>
      </c>
      <c r="E694" s="15" t="s">
        <v>20</v>
      </c>
      <c r="F694" s="15" t="s">
        <v>26</v>
      </c>
      <c r="G694" s="15" t="s">
        <v>37</v>
      </c>
      <c r="H694" s="16">
        <v>244</v>
      </c>
      <c r="I694" s="17">
        <v>54.09</v>
      </c>
      <c r="J694" s="18">
        <v>7.0000000000000007E-2</v>
      </c>
      <c r="K694" s="17">
        <v>13198.4</v>
      </c>
      <c r="L694" s="17">
        <v>12274.51</v>
      </c>
      <c r="M694" s="17">
        <v>7.85</v>
      </c>
      <c r="N694" s="17">
        <v>1914.58</v>
      </c>
      <c r="O694" s="17">
        <v>10359.93</v>
      </c>
      <c r="P694" s="18">
        <v>0.84399999999999997</v>
      </c>
      <c r="Q694" s="17">
        <v>363.68</v>
      </c>
      <c r="R694" s="15" t="s">
        <v>23</v>
      </c>
    </row>
    <row r="695" spans="1:18" ht="14.25" customHeight="1" x14ac:dyDescent="0.3">
      <c r="A695" s="14">
        <v>45778</v>
      </c>
      <c r="B695" s="15">
        <v>2025</v>
      </c>
      <c r="C695" s="15" t="s">
        <v>42</v>
      </c>
      <c r="D695" s="15" t="s">
        <v>24</v>
      </c>
      <c r="E695" s="15" t="s">
        <v>25</v>
      </c>
      <c r="F695" s="15" t="s">
        <v>21</v>
      </c>
      <c r="G695" s="15" t="s">
        <v>37</v>
      </c>
      <c r="H695" s="16">
        <v>238</v>
      </c>
      <c r="I695" s="17">
        <v>54.63</v>
      </c>
      <c r="J695" s="18">
        <v>0.04</v>
      </c>
      <c r="K695" s="17">
        <v>13002.51</v>
      </c>
      <c r="L695" s="17">
        <v>12482.41</v>
      </c>
      <c r="M695" s="17">
        <v>7.85</v>
      </c>
      <c r="N695" s="17">
        <v>1867.5</v>
      </c>
      <c r="O695" s="17">
        <v>10614.91</v>
      </c>
      <c r="P695" s="18">
        <v>0.85040000000000004</v>
      </c>
      <c r="Q695" s="17">
        <v>343.94</v>
      </c>
      <c r="R695" s="15" t="s">
        <v>23</v>
      </c>
    </row>
    <row r="696" spans="1:18" ht="14.25" customHeight="1" x14ac:dyDescent="0.3">
      <c r="A696" s="14">
        <v>45778</v>
      </c>
      <c r="B696" s="15">
        <v>2025</v>
      </c>
      <c r="C696" s="15" t="s">
        <v>42</v>
      </c>
      <c r="D696" s="15" t="s">
        <v>27</v>
      </c>
      <c r="E696" s="15" t="s">
        <v>28</v>
      </c>
      <c r="F696" s="15" t="s">
        <v>32</v>
      </c>
      <c r="G696" s="15" t="s">
        <v>37</v>
      </c>
      <c r="H696" s="16">
        <v>167</v>
      </c>
      <c r="I696" s="17">
        <v>55.18</v>
      </c>
      <c r="J696" s="18">
        <v>2.5000000000000001E-2</v>
      </c>
      <c r="K696" s="17">
        <v>9215.2199999999993</v>
      </c>
      <c r="L696" s="17">
        <v>8984.84</v>
      </c>
      <c r="M696" s="17">
        <v>7.85</v>
      </c>
      <c r="N696" s="17">
        <v>1310.3900000000001</v>
      </c>
      <c r="O696" s="17">
        <v>7674.45</v>
      </c>
      <c r="P696" s="18">
        <v>0.85419999999999996</v>
      </c>
      <c r="Q696" s="17">
        <v>303.39999999999998</v>
      </c>
      <c r="R696" s="15" t="s">
        <v>23</v>
      </c>
    </row>
    <row r="697" spans="1:18" ht="14.25" customHeight="1" x14ac:dyDescent="0.3">
      <c r="A697" s="14">
        <v>45778</v>
      </c>
      <c r="B697" s="15">
        <v>2025</v>
      </c>
      <c r="C697" s="15" t="s">
        <v>42</v>
      </c>
      <c r="D697" s="15" t="s">
        <v>30</v>
      </c>
      <c r="E697" s="15" t="s">
        <v>20</v>
      </c>
      <c r="F697" s="15" t="s">
        <v>21</v>
      </c>
      <c r="G697" s="15" t="s">
        <v>37</v>
      </c>
      <c r="H697" s="16">
        <v>198</v>
      </c>
      <c r="I697" s="17">
        <v>53.54</v>
      </c>
      <c r="J697" s="18">
        <v>7.0000000000000007E-2</v>
      </c>
      <c r="K697" s="17">
        <v>10601.56</v>
      </c>
      <c r="L697" s="17">
        <v>9859.4500000000007</v>
      </c>
      <c r="M697" s="17">
        <v>7.85</v>
      </c>
      <c r="N697" s="17">
        <v>1553.64</v>
      </c>
      <c r="O697" s="17">
        <v>8305.82</v>
      </c>
      <c r="P697" s="18">
        <v>0.84240000000000004</v>
      </c>
      <c r="Q697" s="17">
        <v>312.70999999999998</v>
      </c>
      <c r="R697" s="15" t="s">
        <v>23</v>
      </c>
    </row>
    <row r="698" spans="1:18" ht="14.25" customHeight="1" x14ac:dyDescent="0.3">
      <c r="A698" s="14">
        <v>45809</v>
      </c>
      <c r="B698" s="15">
        <v>2025</v>
      </c>
      <c r="C698" s="15" t="s">
        <v>43</v>
      </c>
      <c r="D698" s="15" t="s">
        <v>19</v>
      </c>
      <c r="E698" s="15" t="s">
        <v>25</v>
      </c>
      <c r="F698" s="15" t="s">
        <v>26</v>
      </c>
      <c r="G698" s="15" t="s">
        <v>22</v>
      </c>
      <c r="H698" s="16">
        <v>130</v>
      </c>
      <c r="I698" s="17">
        <v>515.94000000000005</v>
      </c>
      <c r="J698" s="18">
        <v>5.5E-2</v>
      </c>
      <c r="K698" s="17">
        <v>67072.08</v>
      </c>
      <c r="L698" s="17">
        <v>63383.12</v>
      </c>
      <c r="M698" s="17">
        <v>405.53</v>
      </c>
      <c r="N698" s="17">
        <v>52718.84</v>
      </c>
      <c r="O698" s="17">
        <v>10664.28</v>
      </c>
      <c r="P698" s="18">
        <v>0.16830000000000001</v>
      </c>
      <c r="Q698" s="17">
        <v>1037.56</v>
      </c>
      <c r="R698" s="15" t="s">
        <v>23</v>
      </c>
    </row>
    <row r="699" spans="1:18" ht="14.25" customHeight="1" x14ac:dyDescent="0.3">
      <c r="A699" s="14">
        <v>45809</v>
      </c>
      <c r="B699" s="15">
        <v>2025</v>
      </c>
      <c r="C699" s="15" t="s">
        <v>43</v>
      </c>
      <c r="D699" s="15" t="s">
        <v>24</v>
      </c>
      <c r="E699" s="15" t="s">
        <v>28</v>
      </c>
      <c r="F699" s="15" t="s">
        <v>29</v>
      </c>
      <c r="G699" s="15" t="s">
        <v>22</v>
      </c>
      <c r="H699" s="16">
        <v>109</v>
      </c>
      <c r="I699" s="17">
        <v>521.12</v>
      </c>
      <c r="J699" s="18">
        <v>0.04</v>
      </c>
      <c r="K699" s="17">
        <v>56802.35</v>
      </c>
      <c r="L699" s="17">
        <v>54530.26</v>
      </c>
      <c r="M699" s="17">
        <v>405.53</v>
      </c>
      <c r="N699" s="17">
        <v>44202.720000000001</v>
      </c>
      <c r="O699" s="17">
        <v>10327.540000000001</v>
      </c>
      <c r="P699" s="18">
        <v>0.18940000000000001</v>
      </c>
      <c r="Q699" s="17">
        <v>975.24</v>
      </c>
      <c r="R699" s="15" t="s">
        <v>23</v>
      </c>
    </row>
    <row r="700" spans="1:18" ht="14.25" customHeight="1" x14ac:dyDescent="0.3">
      <c r="A700" s="14">
        <v>45809</v>
      </c>
      <c r="B700" s="15">
        <v>2025</v>
      </c>
      <c r="C700" s="15" t="s">
        <v>43</v>
      </c>
      <c r="D700" s="15" t="s">
        <v>27</v>
      </c>
      <c r="E700" s="15" t="s">
        <v>31</v>
      </c>
      <c r="F700" s="15" t="s">
        <v>32</v>
      </c>
      <c r="G700" s="15" t="s">
        <v>22</v>
      </c>
      <c r="H700" s="16">
        <v>226</v>
      </c>
      <c r="I700" s="17">
        <v>526.30999999999995</v>
      </c>
      <c r="J700" s="18">
        <v>0.12</v>
      </c>
      <c r="K700" s="17">
        <v>118945.13</v>
      </c>
      <c r="L700" s="17">
        <v>104671.72</v>
      </c>
      <c r="M700" s="17">
        <v>405.53</v>
      </c>
      <c r="N700" s="17">
        <v>91649.67</v>
      </c>
      <c r="O700" s="17">
        <v>13022.05</v>
      </c>
      <c r="P700" s="18">
        <v>0.1244</v>
      </c>
      <c r="Q700" s="17">
        <v>890.88</v>
      </c>
      <c r="R700" s="15" t="s">
        <v>23</v>
      </c>
    </row>
    <row r="701" spans="1:18" ht="14.25" customHeight="1" x14ac:dyDescent="0.3">
      <c r="A701" s="14">
        <v>45809</v>
      </c>
      <c r="B701" s="15">
        <v>2025</v>
      </c>
      <c r="C701" s="15" t="s">
        <v>43</v>
      </c>
      <c r="D701" s="15" t="s">
        <v>30</v>
      </c>
      <c r="E701" s="15" t="s">
        <v>20</v>
      </c>
      <c r="F701" s="15" t="s">
        <v>21</v>
      </c>
      <c r="G701" s="15" t="s">
        <v>22</v>
      </c>
      <c r="H701" s="16">
        <v>125</v>
      </c>
      <c r="I701" s="17">
        <v>510.76</v>
      </c>
      <c r="J701" s="18">
        <v>8.5000000000000006E-2</v>
      </c>
      <c r="K701" s="17">
        <v>63844.46</v>
      </c>
      <c r="L701" s="17">
        <v>58417.68</v>
      </c>
      <c r="M701" s="17">
        <v>405.53</v>
      </c>
      <c r="N701" s="17">
        <v>50691.19</v>
      </c>
      <c r="O701" s="17">
        <v>7726.49</v>
      </c>
      <c r="P701" s="18">
        <v>0.1323</v>
      </c>
      <c r="Q701" s="17">
        <v>1080.23</v>
      </c>
      <c r="R701" s="15" t="s">
        <v>23</v>
      </c>
    </row>
    <row r="702" spans="1:18" ht="14.25" customHeight="1" x14ac:dyDescent="0.3">
      <c r="A702" s="14">
        <v>45809</v>
      </c>
      <c r="B702" s="15">
        <v>2025</v>
      </c>
      <c r="C702" s="15" t="s">
        <v>43</v>
      </c>
      <c r="D702" s="15" t="s">
        <v>19</v>
      </c>
      <c r="E702" s="15" t="s">
        <v>28</v>
      </c>
      <c r="F702" s="15" t="s">
        <v>29</v>
      </c>
      <c r="G702" s="15" t="s">
        <v>33</v>
      </c>
      <c r="H702" s="16">
        <v>61</v>
      </c>
      <c r="I702" s="17">
        <v>732.3</v>
      </c>
      <c r="J702" s="18">
        <v>0.04</v>
      </c>
      <c r="K702" s="17">
        <v>44670.2</v>
      </c>
      <c r="L702" s="17">
        <v>42883.39</v>
      </c>
      <c r="M702" s="17">
        <v>601.76</v>
      </c>
      <c r="N702" s="17">
        <v>36707.32</v>
      </c>
      <c r="O702" s="17">
        <v>6176.07</v>
      </c>
      <c r="P702" s="18">
        <v>0.14399999999999999</v>
      </c>
      <c r="Q702" s="17">
        <v>866.95</v>
      </c>
      <c r="R702" s="15" t="s">
        <v>23</v>
      </c>
    </row>
    <row r="703" spans="1:18" ht="14.25" customHeight="1" x14ac:dyDescent="0.3">
      <c r="A703" s="14">
        <v>45809</v>
      </c>
      <c r="B703" s="15">
        <v>2025</v>
      </c>
      <c r="C703" s="15" t="s">
        <v>43</v>
      </c>
      <c r="D703" s="15" t="s">
        <v>24</v>
      </c>
      <c r="E703" s="15" t="s">
        <v>31</v>
      </c>
      <c r="F703" s="15" t="s">
        <v>32</v>
      </c>
      <c r="G703" s="15" t="s">
        <v>33</v>
      </c>
      <c r="H703" s="16">
        <v>132</v>
      </c>
      <c r="I703" s="17">
        <v>739.66</v>
      </c>
      <c r="J703" s="18">
        <v>0.12</v>
      </c>
      <c r="K703" s="17">
        <v>97635.13</v>
      </c>
      <c r="L703" s="17">
        <v>85918.91</v>
      </c>
      <c r="M703" s="17">
        <v>601.76</v>
      </c>
      <c r="N703" s="17">
        <v>79432.23</v>
      </c>
      <c r="O703" s="17">
        <v>6486.68</v>
      </c>
      <c r="P703" s="18">
        <v>7.5499999999999998E-2</v>
      </c>
      <c r="Q703" s="17">
        <v>877.31</v>
      </c>
      <c r="R703" s="15" t="s">
        <v>23</v>
      </c>
    </row>
    <row r="704" spans="1:18" ht="14.25" customHeight="1" x14ac:dyDescent="0.3">
      <c r="A704" s="14">
        <v>45809</v>
      </c>
      <c r="B704" s="15">
        <v>2025</v>
      </c>
      <c r="C704" s="15" t="s">
        <v>43</v>
      </c>
      <c r="D704" s="15" t="s">
        <v>27</v>
      </c>
      <c r="E704" s="15" t="s">
        <v>20</v>
      </c>
      <c r="F704" s="15" t="s">
        <v>21</v>
      </c>
      <c r="G704" s="15" t="s">
        <v>33</v>
      </c>
      <c r="H704" s="16">
        <v>130</v>
      </c>
      <c r="I704" s="17">
        <v>747.02</v>
      </c>
      <c r="J704" s="18">
        <v>8.5000000000000006E-2</v>
      </c>
      <c r="K704" s="17">
        <v>97112.83</v>
      </c>
      <c r="L704" s="17">
        <v>88858.240000000005</v>
      </c>
      <c r="M704" s="17">
        <v>601.76</v>
      </c>
      <c r="N704" s="17">
        <v>78228.72</v>
      </c>
      <c r="O704" s="17">
        <v>10629.52</v>
      </c>
      <c r="P704" s="18">
        <v>0.1196</v>
      </c>
      <c r="Q704" s="17">
        <v>1355.01</v>
      </c>
      <c r="R704" s="15" t="s">
        <v>23</v>
      </c>
    </row>
    <row r="705" spans="1:18" ht="14.25" customHeight="1" x14ac:dyDescent="0.3">
      <c r="A705" s="14">
        <v>45809</v>
      </c>
      <c r="B705" s="15">
        <v>2025</v>
      </c>
      <c r="C705" s="15" t="s">
        <v>43</v>
      </c>
      <c r="D705" s="15" t="s">
        <v>30</v>
      </c>
      <c r="E705" s="15" t="s">
        <v>25</v>
      </c>
      <c r="F705" s="15" t="s">
        <v>26</v>
      </c>
      <c r="G705" s="15" t="s">
        <v>33</v>
      </c>
      <c r="H705" s="16">
        <v>74</v>
      </c>
      <c r="I705" s="17">
        <v>724.94</v>
      </c>
      <c r="J705" s="18">
        <v>5.5E-2</v>
      </c>
      <c r="K705" s="17">
        <v>53645.31</v>
      </c>
      <c r="L705" s="17">
        <v>50694.82</v>
      </c>
      <c r="M705" s="17">
        <v>601.76</v>
      </c>
      <c r="N705" s="17">
        <v>44530.19</v>
      </c>
      <c r="O705" s="17">
        <v>6164.63</v>
      </c>
      <c r="P705" s="18">
        <v>0.1216</v>
      </c>
      <c r="Q705" s="17">
        <v>938.44</v>
      </c>
      <c r="R705" s="15" t="s">
        <v>23</v>
      </c>
    </row>
    <row r="706" spans="1:18" ht="14.25" customHeight="1" x14ac:dyDescent="0.3">
      <c r="A706" s="14">
        <v>45809</v>
      </c>
      <c r="B706" s="15">
        <v>2025</v>
      </c>
      <c r="C706" s="15" t="s">
        <v>43</v>
      </c>
      <c r="D706" s="15" t="s">
        <v>19</v>
      </c>
      <c r="E706" s="15" t="s">
        <v>25</v>
      </c>
      <c r="F706" s="15" t="s">
        <v>26</v>
      </c>
      <c r="G706" s="15" t="s">
        <v>34</v>
      </c>
      <c r="H706" s="16">
        <v>177</v>
      </c>
      <c r="I706" s="17">
        <v>233.01</v>
      </c>
      <c r="J706" s="18">
        <v>5.5E-2</v>
      </c>
      <c r="K706" s="17">
        <v>41242.160000000003</v>
      </c>
      <c r="L706" s="17">
        <v>38973.839999999997</v>
      </c>
      <c r="M706" s="17">
        <v>165.7</v>
      </c>
      <c r="N706" s="17">
        <v>29329.23</v>
      </c>
      <c r="O706" s="17">
        <v>9644.61</v>
      </c>
      <c r="P706" s="18">
        <v>0.2475</v>
      </c>
      <c r="Q706" s="17">
        <v>745.59</v>
      </c>
      <c r="R706" s="15" t="s">
        <v>23</v>
      </c>
    </row>
    <row r="707" spans="1:18" ht="14.25" customHeight="1" x14ac:dyDescent="0.3">
      <c r="A707" s="14">
        <v>45809</v>
      </c>
      <c r="B707" s="15">
        <v>2025</v>
      </c>
      <c r="C707" s="15" t="s">
        <v>43</v>
      </c>
      <c r="D707" s="15" t="s">
        <v>24</v>
      </c>
      <c r="E707" s="15" t="s">
        <v>31</v>
      </c>
      <c r="F707" s="15" t="s">
        <v>32</v>
      </c>
      <c r="G707" s="15" t="s">
        <v>34</v>
      </c>
      <c r="H707" s="16">
        <v>269</v>
      </c>
      <c r="I707" s="17">
        <v>235.34</v>
      </c>
      <c r="J707" s="18">
        <v>0.12</v>
      </c>
      <c r="K707" s="17">
        <v>63307.5</v>
      </c>
      <c r="L707" s="17">
        <v>55710.59</v>
      </c>
      <c r="M707" s="17">
        <v>165.7</v>
      </c>
      <c r="N707" s="17">
        <v>44573.8</v>
      </c>
      <c r="O707" s="17">
        <v>11136.8</v>
      </c>
      <c r="P707" s="18">
        <v>0.19989999999999999</v>
      </c>
      <c r="Q707" s="17">
        <v>585.99</v>
      </c>
      <c r="R707" s="15" t="s">
        <v>23</v>
      </c>
    </row>
    <row r="708" spans="1:18" ht="14.25" customHeight="1" x14ac:dyDescent="0.3">
      <c r="A708" s="14">
        <v>45809</v>
      </c>
      <c r="B708" s="15">
        <v>2025</v>
      </c>
      <c r="C708" s="15" t="s">
        <v>43</v>
      </c>
      <c r="D708" s="15" t="s">
        <v>27</v>
      </c>
      <c r="E708" s="15" t="s">
        <v>20</v>
      </c>
      <c r="F708" s="15" t="s">
        <v>26</v>
      </c>
      <c r="G708" s="15" t="s">
        <v>34</v>
      </c>
      <c r="H708" s="16">
        <v>270</v>
      </c>
      <c r="I708" s="17">
        <v>237.69</v>
      </c>
      <c r="J708" s="18">
        <v>8.5000000000000006E-2</v>
      </c>
      <c r="K708" s="17">
        <v>64176.06</v>
      </c>
      <c r="L708" s="17">
        <v>58721.09</v>
      </c>
      <c r="M708" s="17">
        <v>165.7</v>
      </c>
      <c r="N708" s="17">
        <v>44739.5</v>
      </c>
      <c r="O708" s="17">
        <v>13981.59</v>
      </c>
      <c r="P708" s="18">
        <v>0.23810000000000001</v>
      </c>
      <c r="Q708" s="17">
        <v>993.2</v>
      </c>
      <c r="R708" s="15" t="s">
        <v>23</v>
      </c>
    </row>
    <row r="709" spans="1:18" ht="14.25" customHeight="1" x14ac:dyDescent="0.3">
      <c r="A709" s="14">
        <v>45809</v>
      </c>
      <c r="B709" s="15">
        <v>2025</v>
      </c>
      <c r="C709" s="15" t="s">
        <v>43</v>
      </c>
      <c r="D709" s="15" t="s">
        <v>30</v>
      </c>
      <c r="E709" s="15" t="s">
        <v>25</v>
      </c>
      <c r="F709" s="15" t="s">
        <v>21</v>
      </c>
      <c r="G709" s="15" t="s">
        <v>34</v>
      </c>
      <c r="H709" s="16">
        <v>142</v>
      </c>
      <c r="I709" s="17">
        <v>230.66</v>
      </c>
      <c r="J709" s="18">
        <v>5.5E-2</v>
      </c>
      <c r="K709" s="17">
        <v>32753.9</v>
      </c>
      <c r="L709" s="17">
        <v>30952.44</v>
      </c>
      <c r="M709" s="17">
        <v>165.7</v>
      </c>
      <c r="N709" s="17">
        <v>23529.66</v>
      </c>
      <c r="O709" s="17">
        <v>7422.78</v>
      </c>
      <c r="P709" s="18">
        <v>0.23980000000000001</v>
      </c>
      <c r="Q709" s="17">
        <v>650.94000000000005</v>
      </c>
      <c r="R709" s="15" t="s">
        <v>23</v>
      </c>
    </row>
    <row r="710" spans="1:18" ht="14.25" customHeight="1" x14ac:dyDescent="0.3">
      <c r="A710" s="14">
        <v>45809</v>
      </c>
      <c r="B710" s="15">
        <v>2025</v>
      </c>
      <c r="C710" s="15" t="s">
        <v>43</v>
      </c>
      <c r="D710" s="15" t="s">
        <v>19</v>
      </c>
      <c r="E710" s="15" t="s">
        <v>31</v>
      </c>
      <c r="F710" s="15" t="s">
        <v>32</v>
      </c>
      <c r="G710" s="15" t="s">
        <v>35</v>
      </c>
      <c r="H710" s="16">
        <v>920</v>
      </c>
      <c r="I710" s="17">
        <v>11.65</v>
      </c>
      <c r="J710" s="18">
        <v>0.12</v>
      </c>
      <c r="K710" s="17">
        <v>10715.01</v>
      </c>
      <c r="L710" s="17">
        <v>9429.2099999999991</v>
      </c>
      <c r="M710" s="17">
        <v>6.11</v>
      </c>
      <c r="N710" s="17">
        <v>5617.15</v>
      </c>
      <c r="O710" s="17">
        <v>3812.06</v>
      </c>
      <c r="P710" s="18">
        <v>0.40429999999999999</v>
      </c>
      <c r="Q710" s="17">
        <v>255.78</v>
      </c>
      <c r="R710" s="15" t="s">
        <v>23</v>
      </c>
    </row>
    <row r="711" spans="1:18" ht="14.25" customHeight="1" x14ac:dyDescent="0.3">
      <c r="A711" s="14">
        <v>45809</v>
      </c>
      <c r="B711" s="15">
        <v>2025</v>
      </c>
      <c r="C711" s="15" t="s">
        <v>43</v>
      </c>
      <c r="D711" s="15" t="s">
        <v>24</v>
      </c>
      <c r="E711" s="15" t="s">
        <v>20</v>
      </c>
      <c r="F711" s="15" t="s">
        <v>26</v>
      </c>
      <c r="G711" s="15" t="s">
        <v>35</v>
      </c>
      <c r="H711" s="16">
        <v>944</v>
      </c>
      <c r="I711" s="17">
        <v>11.77</v>
      </c>
      <c r="J711" s="18">
        <v>8.5000000000000006E-2</v>
      </c>
      <c r="K711" s="17">
        <v>11107.1</v>
      </c>
      <c r="L711" s="17">
        <v>10163</v>
      </c>
      <c r="M711" s="17">
        <v>6.11</v>
      </c>
      <c r="N711" s="17">
        <v>5763.69</v>
      </c>
      <c r="O711" s="17">
        <v>4399.32</v>
      </c>
      <c r="P711" s="18">
        <v>0.43290000000000001</v>
      </c>
      <c r="Q711" s="17">
        <v>433.98</v>
      </c>
      <c r="R711" s="15" t="s">
        <v>23</v>
      </c>
    </row>
    <row r="712" spans="1:18" ht="14.25" customHeight="1" x14ac:dyDescent="0.3">
      <c r="A712" s="14">
        <v>45809</v>
      </c>
      <c r="B712" s="15">
        <v>2025</v>
      </c>
      <c r="C712" s="15" t="s">
        <v>43</v>
      </c>
      <c r="D712" s="15" t="s">
        <v>27</v>
      </c>
      <c r="E712" s="15" t="s">
        <v>25</v>
      </c>
      <c r="F712" s="15" t="s">
        <v>21</v>
      </c>
      <c r="G712" s="15" t="s">
        <v>35</v>
      </c>
      <c r="H712" s="16">
        <v>798</v>
      </c>
      <c r="I712" s="17">
        <v>11.89</v>
      </c>
      <c r="J712" s="18">
        <v>5.5E-2</v>
      </c>
      <c r="K712" s="17">
        <v>9484.43</v>
      </c>
      <c r="L712" s="17">
        <v>8962.7800000000007</v>
      </c>
      <c r="M712" s="17">
        <v>6.11</v>
      </c>
      <c r="N712" s="17">
        <v>4872.2700000000004</v>
      </c>
      <c r="O712" s="17">
        <v>4090.51</v>
      </c>
      <c r="P712" s="18">
        <v>0.45639999999999997</v>
      </c>
      <c r="Q712" s="17">
        <v>395.31</v>
      </c>
      <c r="R712" s="15" t="s">
        <v>23</v>
      </c>
    </row>
    <row r="713" spans="1:18" ht="14.25" customHeight="1" x14ac:dyDescent="0.3">
      <c r="A713" s="14">
        <v>45809</v>
      </c>
      <c r="B713" s="15">
        <v>2025</v>
      </c>
      <c r="C713" s="15" t="s">
        <v>43</v>
      </c>
      <c r="D713" s="15" t="s">
        <v>30</v>
      </c>
      <c r="E713" s="15" t="s">
        <v>31</v>
      </c>
      <c r="F713" s="15" t="s">
        <v>32</v>
      </c>
      <c r="G713" s="15" t="s">
        <v>35</v>
      </c>
      <c r="H713" s="16">
        <v>746</v>
      </c>
      <c r="I713" s="17">
        <v>11.54</v>
      </c>
      <c r="J713" s="18">
        <v>0.12</v>
      </c>
      <c r="K713" s="17">
        <v>8605.4500000000007</v>
      </c>
      <c r="L713" s="17">
        <v>7572.79</v>
      </c>
      <c r="M713" s="17">
        <v>6.11</v>
      </c>
      <c r="N713" s="17">
        <v>4554.78</v>
      </c>
      <c r="O713" s="17">
        <v>3018.01</v>
      </c>
      <c r="P713" s="18">
        <v>0.39850000000000002</v>
      </c>
      <c r="Q713" s="17">
        <v>233.82</v>
      </c>
      <c r="R713" s="15" t="s">
        <v>23</v>
      </c>
    </row>
    <row r="714" spans="1:18" ht="14.25" customHeight="1" x14ac:dyDescent="0.3">
      <c r="A714" s="14">
        <v>45809</v>
      </c>
      <c r="B714" s="15">
        <v>2025</v>
      </c>
      <c r="C714" s="15" t="s">
        <v>43</v>
      </c>
      <c r="D714" s="15" t="s">
        <v>19</v>
      </c>
      <c r="E714" s="15" t="s">
        <v>20</v>
      </c>
      <c r="F714" s="15" t="s">
        <v>26</v>
      </c>
      <c r="G714" s="15" t="s">
        <v>36</v>
      </c>
      <c r="H714" s="16">
        <v>278</v>
      </c>
      <c r="I714" s="17">
        <v>70.73</v>
      </c>
      <c r="J714" s="18">
        <v>7.0000000000000007E-2</v>
      </c>
      <c r="K714" s="17">
        <v>19663.259999999998</v>
      </c>
      <c r="L714" s="17">
        <v>18286.830000000002</v>
      </c>
      <c r="M714" s="17">
        <v>15.7</v>
      </c>
      <c r="N714" s="17">
        <v>4364.95</v>
      </c>
      <c r="O714" s="17">
        <v>13921.88</v>
      </c>
      <c r="P714" s="18">
        <v>0.76129999999999998</v>
      </c>
      <c r="Q714" s="17">
        <v>599.79999999999995</v>
      </c>
      <c r="R714" s="15" t="s">
        <v>23</v>
      </c>
    </row>
    <row r="715" spans="1:18" ht="14.25" customHeight="1" x14ac:dyDescent="0.3">
      <c r="A715" s="14">
        <v>45809</v>
      </c>
      <c r="B715" s="15">
        <v>2025</v>
      </c>
      <c r="C715" s="15" t="s">
        <v>43</v>
      </c>
      <c r="D715" s="15" t="s">
        <v>24</v>
      </c>
      <c r="E715" s="15" t="s">
        <v>28</v>
      </c>
      <c r="F715" s="15" t="s">
        <v>29</v>
      </c>
      <c r="G715" s="15" t="s">
        <v>36</v>
      </c>
      <c r="H715" s="16">
        <v>180</v>
      </c>
      <c r="I715" s="17">
        <v>71.45</v>
      </c>
      <c r="J715" s="18">
        <v>2.5000000000000001E-2</v>
      </c>
      <c r="K715" s="17">
        <v>12860.4</v>
      </c>
      <c r="L715" s="17">
        <v>12538.88</v>
      </c>
      <c r="M715" s="17">
        <v>15.7</v>
      </c>
      <c r="N715" s="17">
        <v>2826.23</v>
      </c>
      <c r="O715" s="17">
        <v>9712.66</v>
      </c>
      <c r="P715" s="18">
        <v>0.77459999999999996</v>
      </c>
      <c r="Q715" s="17">
        <v>485.74</v>
      </c>
      <c r="R715" s="15" t="s">
        <v>23</v>
      </c>
    </row>
    <row r="716" spans="1:18" ht="14.25" customHeight="1" x14ac:dyDescent="0.3">
      <c r="A716" s="14">
        <v>45809</v>
      </c>
      <c r="B716" s="15">
        <v>2025</v>
      </c>
      <c r="C716" s="15" t="s">
        <v>43</v>
      </c>
      <c r="D716" s="15" t="s">
        <v>27</v>
      </c>
      <c r="E716" s="15" t="s">
        <v>31</v>
      </c>
      <c r="F716" s="15" t="s">
        <v>32</v>
      </c>
      <c r="G716" s="15" t="s">
        <v>36</v>
      </c>
      <c r="H716" s="16">
        <v>360</v>
      </c>
      <c r="I716" s="17">
        <v>72.150000000000006</v>
      </c>
      <c r="J716" s="18">
        <v>0.105</v>
      </c>
      <c r="K716" s="17">
        <v>25975.51</v>
      </c>
      <c r="L716" s="17">
        <v>23248.080000000002</v>
      </c>
      <c r="M716" s="17">
        <v>15.7</v>
      </c>
      <c r="N716" s="17">
        <v>5652.45</v>
      </c>
      <c r="O716" s="17">
        <v>17595.63</v>
      </c>
      <c r="P716" s="18">
        <v>0.75690000000000002</v>
      </c>
      <c r="Q716" s="17">
        <v>411.43</v>
      </c>
      <c r="R716" s="15" t="s">
        <v>23</v>
      </c>
    </row>
    <row r="717" spans="1:18" ht="14.25" customHeight="1" x14ac:dyDescent="0.3">
      <c r="A717" s="14">
        <v>45809</v>
      </c>
      <c r="B717" s="15">
        <v>2025</v>
      </c>
      <c r="C717" s="15" t="s">
        <v>43</v>
      </c>
      <c r="D717" s="15" t="s">
        <v>30</v>
      </c>
      <c r="E717" s="15" t="s">
        <v>20</v>
      </c>
      <c r="F717" s="15" t="s">
        <v>21</v>
      </c>
      <c r="G717" s="15" t="s">
        <v>36</v>
      </c>
      <c r="H717" s="16">
        <v>228</v>
      </c>
      <c r="I717" s="17">
        <v>70.02</v>
      </c>
      <c r="J717" s="18">
        <v>7.0000000000000007E-2</v>
      </c>
      <c r="K717" s="17">
        <v>15965.38</v>
      </c>
      <c r="L717" s="17">
        <v>14847.8</v>
      </c>
      <c r="M717" s="17">
        <v>15.7</v>
      </c>
      <c r="N717" s="17">
        <v>3579.89</v>
      </c>
      <c r="O717" s="17">
        <v>11267.92</v>
      </c>
      <c r="P717" s="18">
        <v>0.75890000000000002</v>
      </c>
      <c r="Q717" s="17">
        <v>522.51</v>
      </c>
      <c r="R717" s="15" t="s">
        <v>23</v>
      </c>
    </row>
    <row r="718" spans="1:18" ht="14.25" customHeight="1" x14ac:dyDescent="0.3">
      <c r="A718" s="14">
        <v>45809</v>
      </c>
      <c r="B718" s="15">
        <v>2025</v>
      </c>
      <c r="C718" s="15" t="s">
        <v>43</v>
      </c>
      <c r="D718" s="15" t="s">
        <v>19</v>
      </c>
      <c r="E718" s="15" t="s">
        <v>25</v>
      </c>
      <c r="F718" s="15" t="s">
        <v>21</v>
      </c>
      <c r="G718" s="15" t="s">
        <v>37</v>
      </c>
      <c r="H718" s="16">
        <v>192</v>
      </c>
      <c r="I718" s="17">
        <v>54.09</v>
      </c>
      <c r="J718" s="18">
        <v>0.04</v>
      </c>
      <c r="K718" s="17">
        <v>10385.629999999999</v>
      </c>
      <c r="L718" s="17">
        <v>9970.2000000000007</v>
      </c>
      <c r="M718" s="17">
        <v>7.85</v>
      </c>
      <c r="N718" s="17">
        <v>1506.56</v>
      </c>
      <c r="O718" s="17">
        <v>8463.64</v>
      </c>
      <c r="P718" s="18">
        <v>0.84889999999999999</v>
      </c>
      <c r="Q718" s="17">
        <v>316.77</v>
      </c>
      <c r="R718" s="15" t="s">
        <v>23</v>
      </c>
    </row>
    <row r="719" spans="1:18" ht="14.25" customHeight="1" x14ac:dyDescent="0.3">
      <c r="A719" s="14">
        <v>45809</v>
      </c>
      <c r="B719" s="15">
        <v>2025</v>
      </c>
      <c r="C719" s="15" t="s">
        <v>43</v>
      </c>
      <c r="D719" s="15" t="s">
        <v>24</v>
      </c>
      <c r="E719" s="15" t="s">
        <v>28</v>
      </c>
      <c r="F719" s="15" t="s">
        <v>32</v>
      </c>
      <c r="G719" s="15" t="s">
        <v>37</v>
      </c>
      <c r="H719" s="16">
        <v>148</v>
      </c>
      <c r="I719" s="17">
        <v>54.63</v>
      </c>
      <c r="J719" s="18">
        <v>2.5000000000000001E-2</v>
      </c>
      <c r="K719" s="17">
        <v>8085.6</v>
      </c>
      <c r="L719" s="17">
        <v>7883.46</v>
      </c>
      <c r="M719" s="17">
        <v>7.85</v>
      </c>
      <c r="N719" s="17">
        <v>1161.3</v>
      </c>
      <c r="O719" s="17">
        <v>6722.15</v>
      </c>
      <c r="P719" s="18">
        <v>0.85270000000000001</v>
      </c>
      <c r="Q719" s="17">
        <v>293.25</v>
      </c>
      <c r="R719" s="15" t="s">
        <v>23</v>
      </c>
    </row>
    <row r="720" spans="1:18" ht="14.25" customHeight="1" x14ac:dyDescent="0.3">
      <c r="A720" s="14">
        <v>45809</v>
      </c>
      <c r="B720" s="15">
        <v>2025</v>
      </c>
      <c r="C720" s="15" t="s">
        <v>43</v>
      </c>
      <c r="D720" s="15" t="s">
        <v>27</v>
      </c>
      <c r="E720" s="15" t="s">
        <v>20</v>
      </c>
      <c r="F720" s="15" t="s">
        <v>21</v>
      </c>
      <c r="G720" s="15" t="s">
        <v>37</v>
      </c>
      <c r="H720" s="16">
        <v>265</v>
      </c>
      <c r="I720" s="17">
        <v>55.18</v>
      </c>
      <c r="J720" s="18">
        <v>7.0000000000000007E-2</v>
      </c>
      <c r="K720" s="17">
        <v>14622.95</v>
      </c>
      <c r="L720" s="17">
        <v>13599.34</v>
      </c>
      <c r="M720" s="17">
        <v>7.85</v>
      </c>
      <c r="N720" s="17">
        <v>2079.36</v>
      </c>
      <c r="O720" s="17">
        <v>11519.98</v>
      </c>
      <c r="P720" s="18">
        <v>0.84709999999999996</v>
      </c>
      <c r="Q720" s="17">
        <v>399.28</v>
      </c>
      <c r="R720" s="15" t="s">
        <v>23</v>
      </c>
    </row>
    <row r="721" spans="1:18" ht="14.25" customHeight="1" x14ac:dyDescent="0.3">
      <c r="A721" s="14">
        <v>45809</v>
      </c>
      <c r="B721" s="15">
        <v>2025</v>
      </c>
      <c r="C721" s="15" t="s">
        <v>43</v>
      </c>
      <c r="D721" s="15" t="s">
        <v>30</v>
      </c>
      <c r="E721" s="15" t="s">
        <v>25</v>
      </c>
      <c r="F721" s="15" t="s">
        <v>26</v>
      </c>
      <c r="G721" s="15" t="s">
        <v>37</v>
      </c>
      <c r="H721" s="16">
        <v>146</v>
      </c>
      <c r="I721" s="17">
        <v>53.54</v>
      </c>
      <c r="J721" s="18">
        <v>0.04</v>
      </c>
      <c r="K721" s="17">
        <v>7817.31</v>
      </c>
      <c r="L721" s="17">
        <v>7504.63</v>
      </c>
      <c r="M721" s="17">
        <v>7.85</v>
      </c>
      <c r="N721" s="17">
        <v>1145.6099999999999</v>
      </c>
      <c r="O721" s="17">
        <v>6359.01</v>
      </c>
      <c r="P721" s="18">
        <v>0.84730000000000005</v>
      </c>
      <c r="Q721" s="17">
        <v>282.85000000000002</v>
      </c>
      <c r="R721" s="15" t="s">
        <v>23</v>
      </c>
    </row>
    <row r="722" spans="1:18" ht="14.25" customHeight="1" x14ac:dyDescent="0.3">
      <c r="A722" s="14">
        <v>45839</v>
      </c>
      <c r="B722" s="15">
        <v>2025</v>
      </c>
      <c r="C722" s="15" t="s">
        <v>44</v>
      </c>
      <c r="D722" s="15" t="s">
        <v>19</v>
      </c>
      <c r="E722" s="15" t="s">
        <v>28</v>
      </c>
      <c r="F722" s="15" t="s">
        <v>29</v>
      </c>
      <c r="G722" s="15" t="s">
        <v>22</v>
      </c>
      <c r="H722" s="16">
        <v>130</v>
      </c>
      <c r="I722" s="17">
        <v>515.94000000000005</v>
      </c>
      <c r="J722" s="18">
        <v>6.5000000000000002E-2</v>
      </c>
      <c r="K722" s="17">
        <v>67072.08</v>
      </c>
      <c r="L722" s="17">
        <v>62712.4</v>
      </c>
      <c r="M722" s="17">
        <v>405.53</v>
      </c>
      <c r="N722" s="17">
        <v>52718.84</v>
      </c>
      <c r="O722" s="17">
        <v>9993.56</v>
      </c>
      <c r="P722" s="18">
        <v>0.15939999999999999</v>
      </c>
      <c r="Q722" s="17">
        <v>1352.32</v>
      </c>
      <c r="R722" s="15" t="s">
        <v>40</v>
      </c>
    </row>
    <row r="723" spans="1:18" ht="14.25" customHeight="1" x14ac:dyDescent="0.3">
      <c r="A723" s="14">
        <v>45839</v>
      </c>
      <c r="B723" s="15">
        <v>2025</v>
      </c>
      <c r="C723" s="15" t="s">
        <v>44</v>
      </c>
      <c r="D723" s="15" t="s">
        <v>24</v>
      </c>
      <c r="E723" s="15" t="s">
        <v>31</v>
      </c>
      <c r="F723" s="15" t="s">
        <v>32</v>
      </c>
      <c r="G723" s="15" t="s">
        <v>22</v>
      </c>
      <c r="H723" s="16">
        <v>284</v>
      </c>
      <c r="I723" s="17">
        <v>521.12</v>
      </c>
      <c r="J723" s="18">
        <v>0.14499999999999999</v>
      </c>
      <c r="K723" s="17">
        <v>147998.79</v>
      </c>
      <c r="L723" s="17">
        <v>126538.97</v>
      </c>
      <c r="M723" s="17">
        <v>405.53</v>
      </c>
      <c r="N723" s="17">
        <v>115170.38</v>
      </c>
      <c r="O723" s="17">
        <v>11368.59</v>
      </c>
      <c r="P723" s="18">
        <v>8.9800000000000005E-2</v>
      </c>
      <c r="Q723" s="17">
        <v>1280.24</v>
      </c>
      <c r="R723" s="15" t="s">
        <v>40</v>
      </c>
    </row>
    <row r="724" spans="1:18" ht="14.25" customHeight="1" x14ac:dyDescent="0.3">
      <c r="A724" s="14">
        <v>45839</v>
      </c>
      <c r="B724" s="15">
        <v>2025</v>
      </c>
      <c r="C724" s="15" t="s">
        <v>44</v>
      </c>
      <c r="D724" s="15" t="s">
        <v>27</v>
      </c>
      <c r="E724" s="15" t="s">
        <v>20</v>
      </c>
      <c r="F724" s="15" t="s">
        <v>21</v>
      </c>
      <c r="G724" s="15" t="s">
        <v>22</v>
      </c>
      <c r="H724" s="16">
        <v>285</v>
      </c>
      <c r="I724" s="17">
        <v>526.30999999999995</v>
      </c>
      <c r="J724" s="18">
        <v>0.11</v>
      </c>
      <c r="K724" s="17">
        <v>149997.18</v>
      </c>
      <c r="L724" s="17">
        <v>133497.49</v>
      </c>
      <c r="M724" s="17">
        <v>405.53</v>
      </c>
      <c r="N724" s="17">
        <v>115575.91</v>
      </c>
      <c r="O724" s="17">
        <v>17921.580000000002</v>
      </c>
      <c r="P724" s="18">
        <v>0.13420000000000001</v>
      </c>
      <c r="Q724" s="17">
        <v>2107.94</v>
      </c>
      <c r="R724" s="15" t="s">
        <v>40</v>
      </c>
    </row>
    <row r="725" spans="1:18" ht="14.25" customHeight="1" x14ac:dyDescent="0.3">
      <c r="A725" s="14">
        <v>45839</v>
      </c>
      <c r="B725" s="15">
        <v>2025</v>
      </c>
      <c r="C725" s="15" t="s">
        <v>44</v>
      </c>
      <c r="D725" s="15" t="s">
        <v>30</v>
      </c>
      <c r="E725" s="15" t="s">
        <v>25</v>
      </c>
      <c r="F725" s="15" t="s">
        <v>26</v>
      </c>
      <c r="G725" s="15" t="s">
        <v>22</v>
      </c>
      <c r="H725" s="16">
        <v>156</v>
      </c>
      <c r="I725" s="17">
        <v>510.76</v>
      </c>
      <c r="J725" s="18">
        <v>0.08</v>
      </c>
      <c r="K725" s="17">
        <v>79677.89</v>
      </c>
      <c r="L725" s="17">
        <v>73303.66</v>
      </c>
      <c r="M725" s="17">
        <v>405.53</v>
      </c>
      <c r="N725" s="17">
        <v>63262.6</v>
      </c>
      <c r="O725" s="17">
        <v>10041.06</v>
      </c>
      <c r="P725" s="18">
        <v>0.13700000000000001</v>
      </c>
      <c r="Q725" s="17">
        <v>1399.72</v>
      </c>
      <c r="R725" s="15" t="s">
        <v>40</v>
      </c>
    </row>
    <row r="726" spans="1:18" ht="14.25" customHeight="1" x14ac:dyDescent="0.3">
      <c r="A726" s="14">
        <v>45839</v>
      </c>
      <c r="B726" s="15">
        <v>2025</v>
      </c>
      <c r="C726" s="15" t="s">
        <v>44</v>
      </c>
      <c r="D726" s="15" t="s">
        <v>19</v>
      </c>
      <c r="E726" s="15" t="s">
        <v>31</v>
      </c>
      <c r="F726" s="15" t="s">
        <v>32</v>
      </c>
      <c r="G726" s="15" t="s">
        <v>33</v>
      </c>
      <c r="H726" s="16">
        <v>169</v>
      </c>
      <c r="I726" s="17">
        <v>732.3</v>
      </c>
      <c r="J726" s="18">
        <v>0.14499999999999999</v>
      </c>
      <c r="K726" s="17">
        <v>123758.42</v>
      </c>
      <c r="L726" s="17">
        <v>105813.45</v>
      </c>
      <c r="M726" s="17">
        <v>601.76</v>
      </c>
      <c r="N726" s="17">
        <v>101697.33</v>
      </c>
      <c r="O726" s="17">
        <v>4116.12</v>
      </c>
      <c r="P726" s="18">
        <v>3.8899999999999997E-2</v>
      </c>
      <c r="Q726" s="17">
        <v>1147.8699999999999</v>
      </c>
      <c r="R726" s="15" t="s">
        <v>40</v>
      </c>
    </row>
    <row r="727" spans="1:18" ht="14.25" customHeight="1" x14ac:dyDescent="0.3">
      <c r="A727" s="14">
        <v>45839</v>
      </c>
      <c r="B727" s="15">
        <v>2025</v>
      </c>
      <c r="C727" s="15" t="s">
        <v>44</v>
      </c>
      <c r="D727" s="15" t="s">
        <v>24</v>
      </c>
      <c r="E727" s="15" t="s">
        <v>20</v>
      </c>
      <c r="F727" s="15" t="s">
        <v>21</v>
      </c>
      <c r="G727" s="15" t="s">
        <v>33</v>
      </c>
      <c r="H727" s="16">
        <v>159</v>
      </c>
      <c r="I727" s="17">
        <v>739.66</v>
      </c>
      <c r="J727" s="18">
        <v>0.11</v>
      </c>
      <c r="K727" s="17">
        <v>117605.95</v>
      </c>
      <c r="L727" s="17">
        <v>104669.29</v>
      </c>
      <c r="M727" s="17">
        <v>601.76</v>
      </c>
      <c r="N727" s="17">
        <v>95679.74</v>
      </c>
      <c r="O727" s="17">
        <v>8989.56</v>
      </c>
      <c r="P727" s="18">
        <v>8.5900000000000004E-2</v>
      </c>
      <c r="Q727" s="17">
        <v>1935.55</v>
      </c>
      <c r="R727" s="15" t="s">
        <v>40</v>
      </c>
    </row>
    <row r="728" spans="1:18" ht="14.25" customHeight="1" x14ac:dyDescent="0.3">
      <c r="A728" s="14">
        <v>45839</v>
      </c>
      <c r="B728" s="15">
        <v>2025</v>
      </c>
      <c r="C728" s="15" t="s">
        <v>44</v>
      </c>
      <c r="D728" s="15" t="s">
        <v>27</v>
      </c>
      <c r="E728" s="15" t="s">
        <v>25</v>
      </c>
      <c r="F728" s="15" t="s">
        <v>26</v>
      </c>
      <c r="G728" s="15" t="s">
        <v>33</v>
      </c>
      <c r="H728" s="16">
        <v>155</v>
      </c>
      <c r="I728" s="17">
        <v>747.02</v>
      </c>
      <c r="J728" s="18">
        <v>0.08</v>
      </c>
      <c r="K728" s="17">
        <v>115788.37</v>
      </c>
      <c r="L728" s="17">
        <v>106525.3</v>
      </c>
      <c r="M728" s="17">
        <v>601.76</v>
      </c>
      <c r="N728" s="17">
        <v>93272.7</v>
      </c>
      <c r="O728" s="17">
        <v>13252.6</v>
      </c>
      <c r="P728" s="18">
        <v>0.1244</v>
      </c>
      <c r="Q728" s="17">
        <v>1803.39</v>
      </c>
      <c r="R728" s="15" t="s">
        <v>40</v>
      </c>
    </row>
    <row r="729" spans="1:18" ht="14.25" customHeight="1" x14ac:dyDescent="0.3">
      <c r="A729" s="14">
        <v>45839</v>
      </c>
      <c r="B729" s="15">
        <v>2025</v>
      </c>
      <c r="C729" s="15" t="s">
        <v>44</v>
      </c>
      <c r="D729" s="15" t="s">
        <v>30</v>
      </c>
      <c r="E729" s="15" t="s">
        <v>28</v>
      </c>
      <c r="F729" s="15" t="s">
        <v>29</v>
      </c>
      <c r="G729" s="15" t="s">
        <v>33</v>
      </c>
      <c r="H729" s="16">
        <v>69</v>
      </c>
      <c r="I729" s="17">
        <v>724.94</v>
      </c>
      <c r="J729" s="18">
        <v>6.5000000000000002E-2</v>
      </c>
      <c r="K729" s="17">
        <v>50020.63</v>
      </c>
      <c r="L729" s="17">
        <v>46769.29</v>
      </c>
      <c r="M729" s="17">
        <v>601.76</v>
      </c>
      <c r="N729" s="17">
        <v>41521.4</v>
      </c>
      <c r="O729" s="17">
        <v>5247.89</v>
      </c>
      <c r="P729" s="18">
        <v>0.11219999999999999</v>
      </c>
      <c r="Q729" s="17">
        <v>1209.5899999999999</v>
      </c>
      <c r="R729" s="15" t="s">
        <v>40</v>
      </c>
    </row>
    <row r="730" spans="1:18" ht="14.25" customHeight="1" x14ac:dyDescent="0.3">
      <c r="A730" s="14">
        <v>45839</v>
      </c>
      <c r="B730" s="15">
        <v>2025</v>
      </c>
      <c r="C730" s="15" t="s">
        <v>44</v>
      </c>
      <c r="D730" s="15" t="s">
        <v>19</v>
      </c>
      <c r="E730" s="15" t="s">
        <v>31</v>
      </c>
      <c r="F730" s="15" t="s">
        <v>32</v>
      </c>
      <c r="G730" s="15" t="s">
        <v>34</v>
      </c>
      <c r="H730" s="16">
        <v>358</v>
      </c>
      <c r="I730" s="17">
        <v>233.01</v>
      </c>
      <c r="J730" s="18">
        <v>0.14499999999999999</v>
      </c>
      <c r="K730" s="17">
        <v>83416.34</v>
      </c>
      <c r="L730" s="17">
        <v>71320.98</v>
      </c>
      <c r="M730" s="17">
        <v>165.7</v>
      </c>
      <c r="N730" s="17">
        <v>59321.26</v>
      </c>
      <c r="O730" s="17">
        <v>11999.71</v>
      </c>
      <c r="P730" s="18">
        <v>0.16819999999999999</v>
      </c>
      <c r="Q730" s="17">
        <v>805.13</v>
      </c>
      <c r="R730" s="15" t="s">
        <v>40</v>
      </c>
    </row>
    <row r="731" spans="1:18" ht="14.25" customHeight="1" x14ac:dyDescent="0.3">
      <c r="A731" s="14">
        <v>45839</v>
      </c>
      <c r="B731" s="15">
        <v>2025</v>
      </c>
      <c r="C731" s="15" t="s">
        <v>44</v>
      </c>
      <c r="D731" s="15" t="s">
        <v>24</v>
      </c>
      <c r="E731" s="15" t="s">
        <v>20</v>
      </c>
      <c r="F731" s="15" t="s">
        <v>26</v>
      </c>
      <c r="G731" s="15" t="s">
        <v>34</v>
      </c>
      <c r="H731" s="16">
        <v>398</v>
      </c>
      <c r="I731" s="17">
        <v>235.34</v>
      </c>
      <c r="J731" s="18">
        <v>0.11</v>
      </c>
      <c r="K731" s="17">
        <v>93666.85</v>
      </c>
      <c r="L731" s="17">
        <v>83363.5</v>
      </c>
      <c r="M731" s="17">
        <v>165.7</v>
      </c>
      <c r="N731" s="17">
        <v>65949.34</v>
      </c>
      <c r="O731" s="17">
        <v>17414.16</v>
      </c>
      <c r="P731" s="18">
        <v>0.2089</v>
      </c>
      <c r="Q731" s="17">
        <v>1361.12</v>
      </c>
      <c r="R731" s="15" t="s">
        <v>40</v>
      </c>
    </row>
    <row r="732" spans="1:18" ht="14.25" customHeight="1" x14ac:dyDescent="0.3">
      <c r="A732" s="14">
        <v>45839</v>
      </c>
      <c r="B732" s="15">
        <v>2025</v>
      </c>
      <c r="C732" s="15" t="s">
        <v>44</v>
      </c>
      <c r="D732" s="15" t="s">
        <v>27</v>
      </c>
      <c r="E732" s="15" t="s">
        <v>25</v>
      </c>
      <c r="F732" s="15" t="s">
        <v>21</v>
      </c>
      <c r="G732" s="15" t="s">
        <v>34</v>
      </c>
      <c r="H732" s="16">
        <v>309</v>
      </c>
      <c r="I732" s="17">
        <v>237.69</v>
      </c>
      <c r="J732" s="18">
        <v>0.08</v>
      </c>
      <c r="K732" s="17">
        <v>73445.929999999993</v>
      </c>
      <c r="L732" s="17">
        <v>67570.25</v>
      </c>
      <c r="M732" s="17">
        <v>165.7</v>
      </c>
      <c r="N732" s="17">
        <v>51201.87</v>
      </c>
      <c r="O732" s="17">
        <v>16368.38</v>
      </c>
      <c r="P732" s="18">
        <v>0.2422</v>
      </c>
      <c r="Q732" s="17">
        <v>1254.08</v>
      </c>
      <c r="R732" s="15" t="s">
        <v>40</v>
      </c>
    </row>
    <row r="733" spans="1:18" ht="14.25" customHeight="1" x14ac:dyDescent="0.3">
      <c r="A733" s="14">
        <v>45839</v>
      </c>
      <c r="B733" s="15">
        <v>2025</v>
      </c>
      <c r="C733" s="15" t="s">
        <v>44</v>
      </c>
      <c r="D733" s="15" t="s">
        <v>30</v>
      </c>
      <c r="E733" s="15" t="s">
        <v>31</v>
      </c>
      <c r="F733" s="15" t="s">
        <v>32</v>
      </c>
      <c r="G733" s="15" t="s">
        <v>34</v>
      </c>
      <c r="H733" s="16">
        <v>291</v>
      </c>
      <c r="I733" s="17">
        <v>230.66</v>
      </c>
      <c r="J733" s="18">
        <v>0.14499999999999999</v>
      </c>
      <c r="K733" s="17">
        <v>67122.44</v>
      </c>
      <c r="L733" s="17">
        <v>57389.68</v>
      </c>
      <c r="M733" s="17">
        <v>165.7</v>
      </c>
      <c r="N733" s="17">
        <v>48219.24</v>
      </c>
      <c r="O733" s="17">
        <v>9170.44</v>
      </c>
      <c r="P733" s="18">
        <v>0.1598</v>
      </c>
      <c r="Q733" s="17">
        <v>713.06</v>
      </c>
      <c r="R733" s="15" t="s">
        <v>40</v>
      </c>
    </row>
    <row r="734" spans="1:18" ht="14.25" customHeight="1" x14ac:dyDescent="0.3">
      <c r="A734" s="14">
        <v>45839</v>
      </c>
      <c r="B734" s="15">
        <v>2025</v>
      </c>
      <c r="C734" s="15" t="s">
        <v>44</v>
      </c>
      <c r="D734" s="15" t="s">
        <v>19</v>
      </c>
      <c r="E734" s="15" t="s">
        <v>20</v>
      </c>
      <c r="F734" s="15" t="s">
        <v>26</v>
      </c>
      <c r="G734" s="15" t="s">
        <v>35</v>
      </c>
      <c r="H734" s="16">
        <v>1109</v>
      </c>
      <c r="I734" s="17">
        <v>11.65</v>
      </c>
      <c r="J734" s="18">
        <v>0.11</v>
      </c>
      <c r="K734" s="17">
        <v>12916.25</v>
      </c>
      <c r="L734" s="17">
        <v>11495.46</v>
      </c>
      <c r="M734" s="17">
        <v>6.11</v>
      </c>
      <c r="N734" s="17">
        <v>6771.11</v>
      </c>
      <c r="O734" s="17">
        <v>4724.3500000000004</v>
      </c>
      <c r="P734" s="18">
        <v>0.41099999999999998</v>
      </c>
      <c r="Q734" s="17">
        <v>605.65</v>
      </c>
      <c r="R734" s="15" t="s">
        <v>40</v>
      </c>
    </row>
    <row r="735" spans="1:18" ht="14.25" customHeight="1" x14ac:dyDescent="0.3">
      <c r="A735" s="14">
        <v>45839</v>
      </c>
      <c r="B735" s="15">
        <v>2025</v>
      </c>
      <c r="C735" s="15" t="s">
        <v>44</v>
      </c>
      <c r="D735" s="15" t="s">
        <v>24</v>
      </c>
      <c r="E735" s="15" t="s">
        <v>25</v>
      </c>
      <c r="F735" s="15" t="s">
        <v>21</v>
      </c>
      <c r="G735" s="15" t="s">
        <v>35</v>
      </c>
      <c r="H735" s="16">
        <v>991</v>
      </c>
      <c r="I735" s="17">
        <v>11.77</v>
      </c>
      <c r="J735" s="18">
        <v>0.08</v>
      </c>
      <c r="K735" s="17">
        <v>11660.11</v>
      </c>
      <c r="L735" s="17">
        <v>10727.3</v>
      </c>
      <c r="M735" s="17">
        <v>6.11</v>
      </c>
      <c r="N735" s="17">
        <v>6050.65</v>
      </c>
      <c r="O735" s="17">
        <v>4676.6499999999996</v>
      </c>
      <c r="P735" s="18">
        <v>0.436</v>
      </c>
      <c r="Q735" s="17">
        <v>571.14</v>
      </c>
      <c r="R735" s="15" t="s">
        <v>40</v>
      </c>
    </row>
    <row r="736" spans="1:18" ht="14.25" customHeight="1" x14ac:dyDescent="0.3">
      <c r="A736" s="14">
        <v>45839</v>
      </c>
      <c r="B736" s="15">
        <v>2025</v>
      </c>
      <c r="C736" s="15" t="s">
        <v>44</v>
      </c>
      <c r="D736" s="15" t="s">
        <v>27</v>
      </c>
      <c r="E736" s="15" t="s">
        <v>31</v>
      </c>
      <c r="F736" s="15" t="s">
        <v>32</v>
      </c>
      <c r="G736" s="15" t="s">
        <v>35</v>
      </c>
      <c r="H736" s="16">
        <v>1454</v>
      </c>
      <c r="I736" s="17">
        <v>11.89</v>
      </c>
      <c r="J736" s="18">
        <v>0.14499999999999999</v>
      </c>
      <c r="K736" s="17">
        <v>17281.150000000001</v>
      </c>
      <c r="L736" s="17">
        <v>14775.39</v>
      </c>
      <c r="M736" s="17">
        <v>6.11</v>
      </c>
      <c r="N736" s="17">
        <v>8877.5400000000009</v>
      </c>
      <c r="O736" s="17">
        <v>5897.84</v>
      </c>
      <c r="P736" s="18">
        <v>0.3992</v>
      </c>
      <c r="Q736" s="17">
        <v>431.79</v>
      </c>
      <c r="R736" s="15" t="s">
        <v>40</v>
      </c>
    </row>
    <row r="737" spans="1:18" ht="14.25" customHeight="1" x14ac:dyDescent="0.3">
      <c r="A737" s="14">
        <v>45839</v>
      </c>
      <c r="B737" s="15">
        <v>2025</v>
      </c>
      <c r="C737" s="15" t="s">
        <v>44</v>
      </c>
      <c r="D737" s="15" t="s">
        <v>30</v>
      </c>
      <c r="E737" s="15" t="s">
        <v>20</v>
      </c>
      <c r="F737" s="15" t="s">
        <v>21</v>
      </c>
      <c r="G737" s="15" t="s">
        <v>35</v>
      </c>
      <c r="H737" s="16">
        <v>870</v>
      </c>
      <c r="I737" s="17">
        <v>11.54</v>
      </c>
      <c r="J737" s="18">
        <v>0.11</v>
      </c>
      <c r="K737" s="17">
        <v>10035.84</v>
      </c>
      <c r="L737" s="17">
        <v>8931.9</v>
      </c>
      <c r="M737" s="17">
        <v>6.11</v>
      </c>
      <c r="N737" s="17">
        <v>5311.87</v>
      </c>
      <c r="O737" s="17">
        <v>3620.02</v>
      </c>
      <c r="P737" s="18">
        <v>0.40529999999999999</v>
      </c>
      <c r="Q737" s="17">
        <v>538.49</v>
      </c>
      <c r="R737" s="15" t="s">
        <v>40</v>
      </c>
    </row>
    <row r="738" spans="1:18" ht="14.25" customHeight="1" x14ac:dyDescent="0.3">
      <c r="A738" s="14">
        <v>45839</v>
      </c>
      <c r="B738" s="15">
        <v>2025</v>
      </c>
      <c r="C738" s="15" t="s">
        <v>44</v>
      </c>
      <c r="D738" s="15" t="s">
        <v>19</v>
      </c>
      <c r="E738" s="15" t="s">
        <v>28</v>
      </c>
      <c r="F738" s="15" t="s">
        <v>29</v>
      </c>
      <c r="G738" s="15" t="s">
        <v>36</v>
      </c>
      <c r="H738" s="16">
        <v>210</v>
      </c>
      <c r="I738" s="17">
        <v>70.73</v>
      </c>
      <c r="J738" s="18">
        <v>0.05</v>
      </c>
      <c r="K738" s="17">
        <v>14853.54</v>
      </c>
      <c r="L738" s="17">
        <v>14110.87</v>
      </c>
      <c r="M738" s="17">
        <v>15.7</v>
      </c>
      <c r="N738" s="17">
        <v>3297.26</v>
      </c>
      <c r="O738" s="17">
        <v>10813.61</v>
      </c>
      <c r="P738" s="18">
        <v>0.76629999999999998</v>
      </c>
      <c r="Q738" s="17">
        <v>658.51</v>
      </c>
      <c r="R738" s="15" t="s">
        <v>40</v>
      </c>
    </row>
    <row r="739" spans="1:18" ht="14.25" customHeight="1" x14ac:dyDescent="0.3">
      <c r="A739" s="14">
        <v>45839</v>
      </c>
      <c r="B739" s="15">
        <v>2025</v>
      </c>
      <c r="C739" s="15" t="s">
        <v>44</v>
      </c>
      <c r="D739" s="15" t="s">
        <v>24</v>
      </c>
      <c r="E739" s="15" t="s">
        <v>31</v>
      </c>
      <c r="F739" s="15" t="s">
        <v>32</v>
      </c>
      <c r="G739" s="15" t="s">
        <v>36</v>
      </c>
      <c r="H739" s="16">
        <v>444</v>
      </c>
      <c r="I739" s="17">
        <v>71.45</v>
      </c>
      <c r="J739" s="18">
        <v>0.13</v>
      </c>
      <c r="K739" s="17">
        <v>31722.31</v>
      </c>
      <c r="L739" s="17">
        <v>27598.41</v>
      </c>
      <c r="M739" s="17">
        <v>15.7</v>
      </c>
      <c r="N739" s="17">
        <v>6971.36</v>
      </c>
      <c r="O739" s="17">
        <v>20627.05</v>
      </c>
      <c r="P739" s="18">
        <v>0.74739999999999995</v>
      </c>
      <c r="Q739" s="17">
        <v>621.54999999999995</v>
      </c>
      <c r="R739" s="15" t="s">
        <v>40</v>
      </c>
    </row>
    <row r="740" spans="1:18" ht="14.25" customHeight="1" x14ac:dyDescent="0.3">
      <c r="A740" s="14">
        <v>45839</v>
      </c>
      <c r="B740" s="15">
        <v>2025</v>
      </c>
      <c r="C740" s="15" t="s">
        <v>44</v>
      </c>
      <c r="D740" s="15" t="s">
        <v>27</v>
      </c>
      <c r="E740" s="15" t="s">
        <v>20</v>
      </c>
      <c r="F740" s="15" t="s">
        <v>21</v>
      </c>
      <c r="G740" s="15" t="s">
        <v>36</v>
      </c>
      <c r="H740" s="16">
        <v>447</v>
      </c>
      <c r="I740" s="17">
        <v>72.150000000000006</v>
      </c>
      <c r="J740" s="18">
        <v>9.5000000000000001E-2</v>
      </c>
      <c r="K740" s="17">
        <v>32252.93</v>
      </c>
      <c r="L740" s="17">
        <v>29188.9</v>
      </c>
      <c r="M740" s="17">
        <v>15.7</v>
      </c>
      <c r="N740" s="17">
        <v>7018.46</v>
      </c>
      <c r="O740" s="17">
        <v>22170.44</v>
      </c>
      <c r="P740" s="18">
        <v>0.75960000000000005</v>
      </c>
      <c r="Q740" s="17">
        <v>956.9</v>
      </c>
      <c r="R740" s="15" t="s">
        <v>40</v>
      </c>
    </row>
    <row r="741" spans="1:18" ht="14.25" customHeight="1" x14ac:dyDescent="0.3">
      <c r="A741" s="14">
        <v>45839</v>
      </c>
      <c r="B741" s="15">
        <v>2025</v>
      </c>
      <c r="C741" s="15" t="s">
        <v>44</v>
      </c>
      <c r="D741" s="15" t="s">
        <v>30</v>
      </c>
      <c r="E741" s="15" t="s">
        <v>28</v>
      </c>
      <c r="F741" s="15" t="s">
        <v>32</v>
      </c>
      <c r="G741" s="15" t="s">
        <v>36</v>
      </c>
      <c r="H741" s="16">
        <v>166</v>
      </c>
      <c r="I741" s="17">
        <v>70.02</v>
      </c>
      <c r="J741" s="18">
        <v>0.05</v>
      </c>
      <c r="K741" s="17">
        <v>11623.92</v>
      </c>
      <c r="L741" s="17">
        <v>11042.72</v>
      </c>
      <c r="M741" s="17">
        <v>15.7</v>
      </c>
      <c r="N741" s="17">
        <v>2606.41</v>
      </c>
      <c r="O741" s="17">
        <v>8436.32</v>
      </c>
      <c r="P741" s="18">
        <v>0.76400000000000001</v>
      </c>
      <c r="Q741" s="17">
        <v>574.91999999999996</v>
      </c>
      <c r="R741" s="15" t="s">
        <v>40</v>
      </c>
    </row>
    <row r="742" spans="1:18" ht="14.25" customHeight="1" x14ac:dyDescent="0.3">
      <c r="A742" s="14">
        <v>45839</v>
      </c>
      <c r="B742" s="15">
        <v>2025</v>
      </c>
      <c r="C742" s="15" t="s">
        <v>44</v>
      </c>
      <c r="D742" s="15" t="s">
        <v>19</v>
      </c>
      <c r="E742" s="15" t="s">
        <v>28</v>
      </c>
      <c r="F742" s="15" t="s">
        <v>32</v>
      </c>
      <c r="G742" s="15" t="s">
        <v>37</v>
      </c>
      <c r="H742" s="16">
        <v>170</v>
      </c>
      <c r="I742" s="17">
        <v>54.09</v>
      </c>
      <c r="J742" s="18">
        <v>0.05</v>
      </c>
      <c r="K742" s="17">
        <v>9195.61</v>
      </c>
      <c r="L742" s="17">
        <v>8735.83</v>
      </c>
      <c r="M742" s="17">
        <v>7.85</v>
      </c>
      <c r="N742" s="17">
        <v>1333.93</v>
      </c>
      <c r="O742" s="17">
        <v>7401.9</v>
      </c>
      <c r="P742" s="18">
        <v>0.84730000000000005</v>
      </c>
      <c r="Q742" s="17">
        <v>386.33</v>
      </c>
      <c r="R742" s="15" t="s">
        <v>40</v>
      </c>
    </row>
    <row r="743" spans="1:18" ht="14.25" customHeight="1" x14ac:dyDescent="0.3">
      <c r="A743" s="14">
        <v>45839</v>
      </c>
      <c r="B743" s="15">
        <v>2025</v>
      </c>
      <c r="C743" s="15" t="s">
        <v>44</v>
      </c>
      <c r="D743" s="15" t="s">
        <v>24</v>
      </c>
      <c r="E743" s="15" t="s">
        <v>20</v>
      </c>
      <c r="F743" s="15" t="s">
        <v>21</v>
      </c>
      <c r="G743" s="15" t="s">
        <v>37</v>
      </c>
      <c r="H743" s="16">
        <v>306</v>
      </c>
      <c r="I743" s="17">
        <v>54.63</v>
      </c>
      <c r="J743" s="18">
        <v>9.5000000000000001E-2</v>
      </c>
      <c r="K743" s="17">
        <v>16717.509999999998</v>
      </c>
      <c r="L743" s="17">
        <v>15129.35</v>
      </c>
      <c r="M743" s="17">
        <v>7.85</v>
      </c>
      <c r="N743" s="17">
        <v>2401.0700000000002</v>
      </c>
      <c r="O743" s="17">
        <v>12728.28</v>
      </c>
      <c r="P743" s="18">
        <v>0.84130000000000005</v>
      </c>
      <c r="Q743" s="17">
        <v>595.19000000000005</v>
      </c>
      <c r="R743" s="15" t="s">
        <v>40</v>
      </c>
    </row>
    <row r="744" spans="1:18" ht="14.25" customHeight="1" x14ac:dyDescent="0.3">
      <c r="A744" s="14">
        <v>45839</v>
      </c>
      <c r="B744" s="15">
        <v>2025</v>
      </c>
      <c r="C744" s="15" t="s">
        <v>44</v>
      </c>
      <c r="D744" s="15" t="s">
        <v>27</v>
      </c>
      <c r="E744" s="15" t="s">
        <v>25</v>
      </c>
      <c r="F744" s="15" t="s">
        <v>26</v>
      </c>
      <c r="G744" s="15" t="s">
        <v>37</v>
      </c>
      <c r="H744" s="16">
        <v>309</v>
      </c>
      <c r="I744" s="17">
        <v>55.18</v>
      </c>
      <c r="J744" s="18">
        <v>6.5000000000000002E-2</v>
      </c>
      <c r="K744" s="17">
        <v>17050.91</v>
      </c>
      <c r="L744" s="17">
        <v>15942.6</v>
      </c>
      <c r="M744" s="17">
        <v>7.85</v>
      </c>
      <c r="N744" s="17">
        <v>2424.61</v>
      </c>
      <c r="O744" s="17">
        <v>13517.99</v>
      </c>
      <c r="P744" s="18">
        <v>0.84789999999999999</v>
      </c>
      <c r="Q744" s="17">
        <v>520.66999999999996</v>
      </c>
      <c r="R744" s="15" t="s">
        <v>40</v>
      </c>
    </row>
    <row r="745" spans="1:18" ht="14.25" customHeight="1" x14ac:dyDescent="0.3">
      <c r="A745" s="14">
        <v>45839</v>
      </c>
      <c r="B745" s="15">
        <v>2025</v>
      </c>
      <c r="C745" s="15" t="s">
        <v>44</v>
      </c>
      <c r="D745" s="15" t="s">
        <v>30</v>
      </c>
      <c r="E745" s="15" t="s">
        <v>28</v>
      </c>
      <c r="F745" s="15" t="s">
        <v>29</v>
      </c>
      <c r="G745" s="15" t="s">
        <v>37</v>
      </c>
      <c r="H745" s="16">
        <v>131</v>
      </c>
      <c r="I745" s="17">
        <v>53.54</v>
      </c>
      <c r="J745" s="18">
        <v>0.05</v>
      </c>
      <c r="K745" s="17">
        <v>7014.17</v>
      </c>
      <c r="L745" s="17">
        <v>6663.46</v>
      </c>
      <c r="M745" s="17">
        <v>7.85</v>
      </c>
      <c r="N745" s="17">
        <v>1027.9100000000001</v>
      </c>
      <c r="O745" s="17">
        <v>5635.55</v>
      </c>
      <c r="P745" s="18">
        <v>0.84570000000000001</v>
      </c>
      <c r="Q745" s="17">
        <v>350.14</v>
      </c>
      <c r="R745" s="15" t="s">
        <v>40</v>
      </c>
    </row>
    <row r="746" spans="1:18" ht="14.25" customHeight="1" x14ac:dyDescent="0.3">
      <c r="A746" s="14">
        <v>45870</v>
      </c>
      <c r="B746" s="15">
        <v>2025</v>
      </c>
      <c r="C746" s="15" t="s">
        <v>45</v>
      </c>
      <c r="D746" s="15" t="s">
        <v>19</v>
      </c>
      <c r="E746" s="15" t="s">
        <v>31</v>
      </c>
      <c r="F746" s="15" t="s">
        <v>32</v>
      </c>
      <c r="G746" s="15" t="s">
        <v>22</v>
      </c>
      <c r="H746" s="16">
        <v>265</v>
      </c>
      <c r="I746" s="17">
        <v>515.94000000000005</v>
      </c>
      <c r="J746" s="18">
        <v>0.14499999999999999</v>
      </c>
      <c r="K746" s="17">
        <v>136723.85999999999</v>
      </c>
      <c r="L746" s="17">
        <v>116898.9</v>
      </c>
      <c r="M746" s="17">
        <v>405.53</v>
      </c>
      <c r="N746" s="17">
        <v>107465.32</v>
      </c>
      <c r="O746" s="17">
        <v>9433.58</v>
      </c>
      <c r="P746" s="18">
        <v>8.0699999999999994E-2</v>
      </c>
      <c r="Q746" s="17">
        <v>1124.42</v>
      </c>
      <c r="R746" s="15" t="s">
        <v>40</v>
      </c>
    </row>
    <row r="747" spans="1:18" ht="14.25" customHeight="1" x14ac:dyDescent="0.3">
      <c r="A747" s="14">
        <v>45870</v>
      </c>
      <c r="B747" s="15">
        <v>2025</v>
      </c>
      <c r="C747" s="15" t="s">
        <v>45</v>
      </c>
      <c r="D747" s="15" t="s">
        <v>24</v>
      </c>
      <c r="E747" s="15" t="s">
        <v>20</v>
      </c>
      <c r="F747" s="15" t="s">
        <v>21</v>
      </c>
      <c r="G747" s="15" t="s">
        <v>22</v>
      </c>
      <c r="H747" s="16">
        <v>279</v>
      </c>
      <c r="I747" s="17">
        <v>521.12</v>
      </c>
      <c r="J747" s="18">
        <v>0.11</v>
      </c>
      <c r="K747" s="17">
        <v>145393.18</v>
      </c>
      <c r="L747" s="17">
        <v>129399.92</v>
      </c>
      <c r="M747" s="17">
        <v>405.53</v>
      </c>
      <c r="N747" s="17">
        <v>113142.73</v>
      </c>
      <c r="O747" s="17">
        <v>16257.19</v>
      </c>
      <c r="P747" s="18">
        <v>0.12559999999999999</v>
      </c>
      <c r="Q747" s="17">
        <v>1959.84</v>
      </c>
      <c r="R747" s="15" t="s">
        <v>40</v>
      </c>
    </row>
    <row r="748" spans="1:18" ht="14.25" customHeight="1" x14ac:dyDescent="0.3">
      <c r="A748" s="14">
        <v>45870</v>
      </c>
      <c r="B748" s="15">
        <v>2025</v>
      </c>
      <c r="C748" s="15" t="s">
        <v>45</v>
      </c>
      <c r="D748" s="15" t="s">
        <v>27</v>
      </c>
      <c r="E748" s="15" t="s">
        <v>25</v>
      </c>
      <c r="F748" s="15" t="s">
        <v>26</v>
      </c>
      <c r="G748" s="15" t="s">
        <v>22</v>
      </c>
      <c r="H748" s="16">
        <v>275</v>
      </c>
      <c r="I748" s="17">
        <v>526.30999999999995</v>
      </c>
      <c r="J748" s="18">
        <v>0.08</v>
      </c>
      <c r="K748" s="17">
        <v>144734.12</v>
      </c>
      <c r="L748" s="17">
        <v>133155.39000000001</v>
      </c>
      <c r="M748" s="17">
        <v>405.53</v>
      </c>
      <c r="N748" s="17">
        <v>111520.61</v>
      </c>
      <c r="O748" s="17">
        <v>21634.78</v>
      </c>
      <c r="P748" s="18">
        <v>0.16250000000000001</v>
      </c>
      <c r="Q748" s="17">
        <v>1711.52</v>
      </c>
      <c r="R748" s="15" t="s">
        <v>40</v>
      </c>
    </row>
    <row r="749" spans="1:18" ht="14.25" customHeight="1" x14ac:dyDescent="0.3">
      <c r="A749" s="14">
        <v>45870</v>
      </c>
      <c r="B749" s="15">
        <v>2025</v>
      </c>
      <c r="C749" s="15" t="s">
        <v>45</v>
      </c>
      <c r="D749" s="15" t="s">
        <v>30</v>
      </c>
      <c r="E749" s="15" t="s">
        <v>28</v>
      </c>
      <c r="F749" s="15" t="s">
        <v>29</v>
      </c>
      <c r="G749" s="15" t="s">
        <v>22</v>
      </c>
      <c r="H749" s="16">
        <v>116</v>
      </c>
      <c r="I749" s="17">
        <v>510.76</v>
      </c>
      <c r="J749" s="18">
        <v>6.5000000000000002E-2</v>
      </c>
      <c r="K749" s="17">
        <v>59247.66</v>
      </c>
      <c r="L749" s="17">
        <v>55396.56</v>
      </c>
      <c r="M749" s="17">
        <v>405.53</v>
      </c>
      <c r="N749" s="17">
        <v>47041.42</v>
      </c>
      <c r="O749" s="17">
        <v>8355.14</v>
      </c>
      <c r="P749" s="18">
        <v>0.15079999999999999</v>
      </c>
      <c r="Q749" s="17">
        <v>1205.76</v>
      </c>
      <c r="R749" s="15" t="s">
        <v>40</v>
      </c>
    </row>
    <row r="750" spans="1:18" ht="14.25" customHeight="1" x14ac:dyDescent="0.3">
      <c r="A750" s="14">
        <v>45870</v>
      </c>
      <c r="B750" s="15">
        <v>2025</v>
      </c>
      <c r="C750" s="15" t="s">
        <v>45</v>
      </c>
      <c r="D750" s="15" t="s">
        <v>19</v>
      </c>
      <c r="E750" s="15" t="s">
        <v>20</v>
      </c>
      <c r="F750" s="15" t="s">
        <v>21</v>
      </c>
      <c r="G750" s="15" t="s">
        <v>33</v>
      </c>
      <c r="H750" s="16">
        <v>151</v>
      </c>
      <c r="I750" s="17">
        <v>732.3</v>
      </c>
      <c r="J750" s="18">
        <v>0.11</v>
      </c>
      <c r="K750" s="17">
        <v>110577.05</v>
      </c>
      <c r="L750" s="17">
        <v>98413.57</v>
      </c>
      <c r="M750" s="17">
        <v>601.76</v>
      </c>
      <c r="N750" s="17">
        <v>90865.66</v>
      </c>
      <c r="O750" s="17">
        <v>7547.91</v>
      </c>
      <c r="P750" s="18">
        <v>7.6700000000000004E-2</v>
      </c>
      <c r="Q750" s="17">
        <v>1856.53</v>
      </c>
      <c r="R750" s="15" t="s">
        <v>40</v>
      </c>
    </row>
    <row r="751" spans="1:18" ht="14.25" customHeight="1" x14ac:dyDescent="0.3">
      <c r="A751" s="14">
        <v>45870</v>
      </c>
      <c r="B751" s="15">
        <v>2025</v>
      </c>
      <c r="C751" s="15" t="s">
        <v>45</v>
      </c>
      <c r="D751" s="15" t="s">
        <v>24</v>
      </c>
      <c r="E751" s="15" t="s">
        <v>25</v>
      </c>
      <c r="F751" s="15" t="s">
        <v>26</v>
      </c>
      <c r="G751" s="15" t="s">
        <v>33</v>
      </c>
      <c r="H751" s="16">
        <v>153</v>
      </c>
      <c r="I751" s="17">
        <v>739.66</v>
      </c>
      <c r="J751" s="18">
        <v>0.08</v>
      </c>
      <c r="K751" s="17">
        <v>113167.99</v>
      </c>
      <c r="L751" s="17">
        <v>104114.55</v>
      </c>
      <c r="M751" s="17">
        <v>601.76</v>
      </c>
      <c r="N751" s="17">
        <v>92069.18</v>
      </c>
      <c r="O751" s="17">
        <v>12045.37</v>
      </c>
      <c r="P751" s="18">
        <v>0.1157</v>
      </c>
      <c r="Q751" s="17">
        <v>1721.19</v>
      </c>
      <c r="R751" s="15" t="s">
        <v>40</v>
      </c>
    </row>
    <row r="752" spans="1:18" ht="14.25" customHeight="1" x14ac:dyDescent="0.3">
      <c r="A752" s="14">
        <v>45870</v>
      </c>
      <c r="B752" s="15">
        <v>2025</v>
      </c>
      <c r="C752" s="15" t="s">
        <v>45</v>
      </c>
      <c r="D752" s="15" t="s">
        <v>27</v>
      </c>
      <c r="E752" s="15" t="s">
        <v>28</v>
      </c>
      <c r="F752" s="15" t="s">
        <v>29</v>
      </c>
      <c r="G752" s="15" t="s">
        <v>33</v>
      </c>
      <c r="H752" s="16">
        <v>111</v>
      </c>
      <c r="I752" s="17">
        <v>747.02</v>
      </c>
      <c r="J752" s="18">
        <v>6.5000000000000002E-2</v>
      </c>
      <c r="K752" s="17">
        <v>82919.41</v>
      </c>
      <c r="L752" s="17">
        <v>77529.66</v>
      </c>
      <c r="M752" s="17">
        <v>601.76</v>
      </c>
      <c r="N752" s="17">
        <v>66795.289999999994</v>
      </c>
      <c r="O752" s="17">
        <v>10734.37</v>
      </c>
      <c r="P752" s="18">
        <v>0.13850000000000001</v>
      </c>
      <c r="Q752" s="17">
        <v>1535.18</v>
      </c>
      <c r="R752" s="15" t="s">
        <v>40</v>
      </c>
    </row>
    <row r="753" spans="1:18" ht="14.25" customHeight="1" x14ac:dyDescent="0.3">
      <c r="A753" s="14">
        <v>45870</v>
      </c>
      <c r="B753" s="15">
        <v>2025</v>
      </c>
      <c r="C753" s="15" t="s">
        <v>45</v>
      </c>
      <c r="D753" s="15" t="s">
        <v>30</v>
      </c>
      <c r="E753" s="15" t="s">
        <v>31</v>
      </c>
      <c r="F753" s="15" t="s">
        <v>32</v>
      </c>
      <c r="G753" s="15" t="s">
        <v>33</v>
      </c>
      <c r="H753" s="16">
        <v>132</v>
      </c>
      <c r="I753" s="17">
        <v>724.94</v>
      </c>
      <c r="J753" s="18">
        <v>0.14499999999999999</v>
      </c>
      <c r="K753" s="17">
        <v>95691.64</v>
      </c>
      <c r="L753" s="17">
        <v>81816.350000000006</v>
      </c>
      <c r="M753" s="17">
        <v>601.76</v>
      </c>
      <c r="N753" s="17">
        <v>79432.23</v>
      </c>
      <c r="O753" s="17">
        <v>2384.12</v>
      </c>
      <c r="P753" s="18">
        <v>2.9100000000000001E-2</v>
      </c>
      <c r="Q753" s="17">
        <v>1035.94</v>
      </c>
      <c r="R753" s="15" t="s">
        <v>40</v>
      </c>
    </row>
    <row r="754" spans="1:18" ht="14.25" customHeight="1" x14ac:dyDescent="0.3">
      <c r="A754" s="14">
        <v>45870</v>
      </c>
      <c r="B754" s="15">
        <v>2025</v>
      </c>
      <c r="C754" s="15" t="s">
        <v>45</v>
      </c>
      <c r="D754" s="15" t="s">
        <v>19</v>
      </c>
      <c r="E754" s="15" t="s">
        <v>20</v>
      </c>
      <c r="F754" s="15" t="s">
        <v>26</v>
      </c>
      <c r="G754" s="15" t="s">
        <v>34</v>
      </c>
      <c r="H754" s="16">
        <v>377</v>
      </c>
      <c r="I754" s="17">
        <v>233.01</v>
      </c>
      <c r="J754" s="18">
        <v>0.11</v>
      </c>
      <c r="K754" s="17">
        <v>87843.47</v>
      </c>
      <c r="L754" s="17">
        <v>78180.69</v>
      </c>
      <c r="M754" s="17">
        <v>165.7</v>
      </c>
      <c r="N754" s="17">
        <v>62469.599999999999</v>
      </c>
      <c r="O754" s="17">
        <v>15711.09</v>
      </c>
      <c r="P754" s="18">
        <v>0.20100000000000001</v>
      </c>
      <c r="Q754" s="17">
        <v>1244.1400000000001</v>
      </c>
      <c r="R754" s="15" t="s">
        <v>40</v>
      </c>
    </row>
    <row r="755" spans="1:18" ht="14.25" customHeight="1" x14ac:dyDescent="0.3">
      <c r="A755" s="14">
        <v>45870</v>
      </c>
      <c r="B755" s="15">
        <v>2025</v>
      </c>
      <c r="C755" s="15" t="s">
        <v>45</v>
      </c>
      <c r="D755" s="15" t="s">
        <v>24</v>
      </c>
      <c r="E755" s="15" t="s">
        <v>25</v>
      </c>
      <c r="F755" s="15" t="s">
        <v>21</v>
      </c>
      <c r="G755" s="15" t="s">
        <v>34</v>
      </c>
      <c r="H755" s="16">
        <v>284</v>
      </c>
      <c r="I755" s="17">
        <v>235.34</v>
      </c>
      <c r="J755" s="18">
        <v>0.08</v>
      </c>
      <c r="K755" s="17">
        <v>66837.649999999994</v>
      </c>
      <c r="L755" s="17">
        <v>61490.64</v>
      </c>
      <c r="M755" s="17">
        <v>165.7</v>
      </c>
      <c r="N755" s="17">
        <v>47059.33</v>
      </c>
      <c r="O755" s="17">
        <v>14431.32</v>
      </c>
      <c r="P755" s="18">
        <v>0.23469999999999999</v>
      </c>
      <c r="Q755" s="17">
        <v>1209.08</v>
      </c>
      <c r="R755" s="15" t="s">
        <v>40</v>
      </c>
    </row>
    <row r="756" spans="1:18" ht="14.25" customHeight="1" x14ac:dyDescent="0.3">
      <c r="A756" s="14">
        <v>45870</v>
      </c>
      <c r="B756" s="15">
        <v>2025</v>
      </c>
      <c r="C756" s="15" t="s">
        <v>45</v>
      </c>
      <c r="D756" s="15" t="s">
        <v>27</v>
      </c>
      <c r="E756" s="15" t="s">
        <v>31</v>
      </c>
      <c r="F756" s="15" t="s">
        <v>32</v>
      </c>
      <c r="G756" s="15" t="s">
        <v>34</v>
      </c>
      <c r="H756" s="16">
        <v>433</v>
      </c>
      <c r="I756" s="17">
        <v>237.69</v>
      </c>
      <c r="J756" s="18">
        <v>0.14499999999999999</v>
      </c>
      <c r="K756" s="17">
        <v>102919.38</v>
      </c>
      <c r="L756" s="17">
        <v>87996.07</v>
      </c>
      <c r="M756" s="17">
        <v>165.7</v>
      </c>
      <c r="N756" s="17">
        <v>71748.899999999994</v>
      </c>
      <c r="O756" s="17">
        <v>16247.17</v>
      </c>
      <c r="P756" s="18">
        <v>0.18459999999999999</v>
      </c>
      <c r="Q756" s="17">
        <v>911.28</v>
      </c>
      <c r="R756" s="15" t="s">
        <v>40</v>
      </c>
    </row>
    <row r="757" spans="1:18" ht="14.25" customHeight="1" x14ac:dyDescent="0.3">
      <c r="A757" s="14">
        <v>45870</v>
      </c>
      <c r="B757" s="15">
        <v>2025</v>
      </c>
      <c r="C757" s="15" t="s">
        <v>45</v>
      </c>
      <c r="D757" s="15" t="s">
        <v>30</v>
      </c>
      <c r="E757" s="15" t="s">
        <v>20</v>
      </c>
      <c r="F757" s="15" t="s">
        <v>21</v>
      </c>
      <c r="G757" s="15" t="s">
        <v>34</v>
      </c>
      <c r="H757" s="16">
        <v>263</v>
      </c>
      <c r="I757" s="17">
        <v>230.66</v>
      </c>
      <c r="J757" s="18">
        <v>0.11</v>
      </c>
      <c r="K757" s="17">
        <v>60663.92</v>
      </c>
      <c r="L757" s="17">
        <v>53990.89</v>
      </c>
      <c r="M757" s="17">
        <v>165.7</v>
      </c>
      <c r="N757" s="17">
        <v>43579.59</v>
      </c>
      <c r="O757" s="17">
        <v>10411.299999999999</v>
      </c>
      <c r="P757" s="18">
        <v>0.1928</v>
      </c>
      <c r="Q757" s="17">
        <v>1146.72</v>
      </c>
      <c r="R757" s="15" t="s">
        <v>40</v>
      </c>
    </row>
    <row r="758" spans="1:18" ht="14.25" customHeight="1" x14ac:dyDescent="0.3">
      <c r="A758" s="14">
        <v>45870</v>
      </c>
      <c r="B758" s="15">
        <v>2025</v>
      </c>
      <c r="C758" s="15" t="s">
        <v>45</v>
      </c>
      <c r="D758" s="15" t="s">
        <v>19</v>
      </c>
      <c r="E758" s="15" t="s">
        <v>25</v>
      </c>
      <c r="F758" s="15" t="s">
        <v>21</v>
      </c>
      <c r="G758" s="15" t="s">
        <v>35</v>
      </c>
      <c r="H758" s="16">
        <v>914</v>
      </c>
      <c r="I758" s="17">
        <v>11.65</v>
      </c>
      <c r="J758" s="18">
        <v>0.08</v>
      </c>
      <c r="K758" s="17">
        <v>10645.13</v>
      </c>
      <c r="L758" s="17">
        <v>9793.52</v>
      </c>
      <c r="M758" s="17">
        <v>6.11</v>
      </c>
      <c r="N758" s="17">
        <v>5580.52</v>
      </c>
      <c r="O758" s="17">
        <v>4213</v>
      </c>
      <c r="P758" s="18">
        <v>0.43020000000000003</v>
      </c>
      <c r="Q758" s="17">
        <v>537.36</v>
      </c>
      <c r="R758" s="15" t="s">
        <v>40</v>
      </c>
    </row>
    <row r="759" spans="1:18" ht="14.25" customHeight="1" x14ac:dyDescent="0.3">
      <c r="A759" s="14">
        <v>45870</v>
      </c>
      <c r="B759" s="15">
        <v>2025</v>
      </c>
      <c r="C759" s="15" t="s">
        <v>45</v>
      </c>
      <c r="D759" s="15" t="s">
        <v>24</v>
      </c>
      <c r="E759" s="15" t="s">
        <v>31</v>
      </c>
      <c r="F759" s="15" t="s">
        <v>32</v>
      </c>
      <c r="G759" s="15" t="s">
        <v>35</v>
      </c>
      <c r="H759" s="16">
        <v>1303</v>
      </c>
      <c r="I759" s="17">
        <v>11.77</v>
      </c>
      <c r="J759" s="18">
        <v>0.14499999999999999</v>
      </c>
      <c r="K759" s="17">
        <v>15331.1</v>
      </c>
      <c r="L759" s="17">
        <v>13108.09</v>
      </c>
      <c r="M759" s="17">
        <v>6.11</v>
      </c>
      <c r="N759" s="17">
        <v>7955.6</v>
      </c>
      <c r="O759" s="17">
        <v>5152.49</v>
      </c>
      <c r="P759" s="18">
        <v>0.3931</v>
      </c>
      <c r="Q759" s="17">
        <v>429.02</v>
      </c>
      <c r="R759" s="15" t="s">
        <v>40</v>
      </c>
    </row>
    <row r="760" spans="1:18" ht="14.25" customHeight="1" x14ac:dyDescent="0.3">
      <c r="A760" s="14">
        <v>45870</v>
      </c>
      <c r="B760" s="15">
        <v>2025</v>
      </c>
      <c r="C760" s="15" t="s">
        <v>45</v>
      </c>
      <c r="D760" s="15" t="s">
        <v>27</v>
      </c>
      <c r="E760" s="15" t="s">
        <v>20</v>
      </c>
      <c r="F760" s="15" t="s">
        <v>21</v>
      </c>
      <c r="G760" s="15" t="s">
        <v>35</v>
      </c>
      <c r="H760" s="16">
        <v>1312</v>
      </c>
      <c r="I760" s="17">
        <v>11.89</v>
      </c>
      <c r="J760" s="18">
        <v>0.11</v>
      </c>
      <c r="K760" s="17">
        <v>15593.45</v>
      </c>
      <c r="L760" s="17">
        <v>13878.17</v>
      </c>
      <c r="M760" s="17">
        <v>6.11</v>
      </c>
      <c r="N760" s="17">
        <v>8010.55</v>
      </c>
      <c r="O760" s="17">
        <v>5867.62</v>
      </c>
      <c r="P760" s="18">
        <v>0.42280000000000001</v>
      </c>
      <c r="Q760" s="17">
        <v>687.18</v>
      </c>
      <c r="R760" s="15" t="s">
        <v>40</v>
      </c>
    </row>
    <row r="761" spans="1:18" ht="14.25" customHeight="1" x14ac:dyDescent="0.3">
      <c r="A761" s="14">
        <v>45870</v>
      </c>
      <c r="B761" s="15">
        <v>2025</v>
      </c>
      <c r="C761" s="15" t="s">
        <v>45</v>
      </c>
      <c r="D761" s="15" t="s">
        <v>30</v>
      </c>
      <c r="E761" s="15" t="s">
        <v>25</v>
      </c>
      <c r="F761" s="15" t="s">
        <v>26</v>
      </c>
      <c r="G761" s="15" t="s">
        <v>35</v>
      </c>
      <c r="H761" s="16">
        <v>758</v>
      </c>
      <c r="I761" s="17">
        <v>11.54</v>
      </c>
      <c r="J761" s="18">
        <v>0.08</v>
      </c>
      <c r="K761" s="17">
        <v>8743.8700000000008</v>
      </c>
      <c r="L761" s="17">
        <v>8044.36</v>
      </c>
      <c r="M761" s="17">
        <v>6.11</v>
      </c>
      <c r="N761" s="17">
        <v>4628.04</v>
      </c>
      <c r="O761" s="17">
        <v>3416.31</v>
      </c>
      <c r="P761" s="18">
        <v>0.42470000000000002</v>
      </c>
      <c r="Q761" s="17">
        <v>461.95</v>
      </c>
      <c r="R761" s="15" t="s">
        <v>40</v>
      </c>
    </row>
    <row r="762" spans="1:18" ht="14.25" customHeight="1" x14ac:dyDescent="0.3">
      <c r="A762" s="14">
        <v>45870</v>
      </c>
      <c r="B762" s="15">
        <v>2025</v>
      </c>
      <c r="C762" s="15" t="s">
        <v>45</v>
      </c>
      <c r="D762" s="15" t="s">
        <v>19</v>
      </c>
      <c r="E762" s="15" t="s">
        <v>31</v>
      </c>
      <c r="F762" s="15" t="s">
        <v>32</v>
      </c>
      <c r="G762" s="15" t="s">
        <v>36</v>
      </c>
      <c r="H762" s="16">
        <v>408</v>
      </c>
      <c r="I762" s="17">
        <v>70.73</v>
      </c>
      <c r="J762" s="18">
        <v>0.13</v>
      </c>
      <c r="K762" s="17">
        <v>28858.31</v>
      </c>
      <c r="L762" s="17">
        <v>25106.73</v>
      </c>
      <c r="M762" s="17">
        <v>15.7</v>
      </c>
      <c r="N762" s="17">
        <v>6406.11</v>
      </c>
      <c r="O762" s="17">
        <v>18700.62</v>
      </c>
      <c r="P762" s="18">
        <v>0.74480000000000002</v>
      </c>
      <c r="Q762" s="17">
        <v>544.59</v>
      </c>
      <c r="R762" s="15" t="s">
        <v>40</v>
      </c>
    </row>
    <row r="763" spans="1:18" ht="14.25" customHeight="1" x14ac:dyDescent="0.3">
      <c r="A763" s="14">
        <v>45870</v>
      </c>
      <c r="B763" s="15">
        <v>2025</v>
      </c>
      <c r="C763" s="15" t="s">
        <v>45</v>
      </c>
      <c r="D763" s="15" t="s">
        <v>24</v>
      </c>
      <c r="E763" s="15" t="s">
        <v>20</v>
      </c>
      <c r="F763" s="15" t="s">
        <v>21</v>
      </c>
      <c r="G763" s="15" t="s">
        <v>36</v>
      </c>
      <c r="H763" s="16">
        <v>428</v>
      </c>
      <c r="I763" s="17">
        <v>71.45</v>
      </c>
      <c r="J763" s="18">
        <v>9.5000000000000001E-2</v>
      </c>
      <c r="K763" s="17">
        <v>30579.17</v>
      </c>
      <c r="L763" s="17">
        <v>27674.15</v>
      </c>
      <c r="M763" s="17">
        <v>15.7</v>
      </c>
      <c r="N763" s="17">
        <v>6720.14</v>
      </c>
      <c r="O763" s="17">
        <v>20954.009999999998</v>
      </c>
      <c r="P763" s="18">
        <v>0.75719999999999998</v>
      </c>
      <c r="Q763" s="17">
        <v>954.82</v>
      </c>
      <c r="R763" s="15" t="s">
        <v>40</v>
      </c>
    </row>
    <row r="764" spans="1:18" ht="14.25" customHeight="1" x14ac:dyDescent="0.3">
      <c r="A764" s="14">
        <v>45870</v>
      </c>
      <c r="B764" s="15">
        <v>2025</v>
      </c>
      <c r="C764" s="15" t="s">
        <v>45</v>
      </c>
      <c r="D764" s="15" t="s">
        <v>27</v>
      </c>
      <c r="E764" s="15" t="s">
        <v>28</v>
      </c>
      <c r="F764" s="15" t="s">
        <v>32</v>
      </c>
      <c r="G764" s="15" t="s">
        <v>36</v>
      </c>
      <c r="H764" s="16">
        <v>256</v>
      </c>
      <c r="I764" s="17">
        <v>72.150000000000006</v>
      </c>
      <c r="J764" s="18">
        <v>0.05</v>
      </c>
      <c r="K764" s="17">
        <v>18471.48</v>
      </c>
      <c r="L764" s="17">
        <v>17547.900000000001</v>
      </c>
      <c r="M764" s="17">
        <v>15.7</v>
      </c>
      <c r="N764" s="17">
        <v>4019.52</v>
      </c>
      <c r="O764" s="17">
        <v>13528.38</v>
      </c>
      <c r="P764" s="18">
        <v>0.77090000000000003</v>
      </c>
      <c r="Q764" s="17">
        <v>716.84</v>
      </c>
      <c r="R764" s="15" t="s">
        <v>40</v>
      </c>
    </row>
    <row r="765" spans="1:18" ht="14.25" customHeight="1" x14ac:dyDescent="0.3">
      <c r="A765" s="14">
        <v>45870</v>
      </c>
      <c r="B765" s="15">
        <v>2025</v>
      </c>
      <c r="C765" s="15" t="s">
        <v>45</v>
      </c>
      <c r="D765" s="15" t="s">
        <v>30</v>
      </c>
      <c r="E765" s="15" t="s">
        <v>31</v>
      </c>
      <c r="F765" s="15" t="s">
        <v>32</v>
      </c>
      <c r="G765" s="15" t="s">
        <v>36</v>
      </c>
      <c r="H765" s="16">
        <v>319</v>
      </c>
      <c r="I765" s="17">
        <v>70.02</v>
      </c>
      <c r="J765" s="18">
        <v>0.13</v>
      </c>
      <c r="K765" s="17">
        <v>22337.53</v>
      </c>
      <c r="L765" s="17">
        <v>19433.650000000001</v>
      </c>
      <c r="M765" s="17">
        <v>15.7</v>
      </c>
      <c r="N765" s="17">
        <v>5008.7</v>
      </c>
      <c r="O765" s="17">
        <v>14424.95</v>
      </c>
      <c r="P765" s="18">
        <v>0.74229999999999996</v>
      </c>
      <c r="Q765" s="17">
        <v>485.05</v>
      </c>
      <c r="R765" s="15" t="s">
        <v>40</v>
      </c>
    </row>
    <row r="766" spans="1:18" ht="14.25" customHeight="1" x14ac:dyDescent="0.3">
      <c r="A766" s="14">
        <v>45870</v>
      </c>
      <c r="B766" s="15">
        <v>2025</v>
      </c>
      <c r="C766" s="15" t="s">
        <v>45</v>
      </c>
      <c r="D766" s="15" t="s">
        <v>19</v>
      </c>
      <c r="E766" s="15" t="s">
        <v>20</v>
      </c>
      <c r="F766" s="15" t="s">
        <v>21</v>
      </c>
      <c r="G766" s="15" t="s">
        <v>37</v>
      </c>
      <c r="H766" s="16">
        <v>303</v>
      </c>
      <c r="I766" s="17">
        <v>54.09</v>
      </c>
      <c r="J766" s="18">
        <v>9.5000000000000001E-2</v>
      </c>
      <c r="K766" s="17">
        <v>16389.82</v>
      </c>
      <c r="L766" s="17">
        <v>14832.78</v>
      </c>
      <c r="M766" s="17">
        <v>7.85</v>
      </c>
      <c r="N766" s="17">
        <v>2377.5300000000002</v>
      </c>
      <c r="O766" s="17">
        <v>12455.25</v>
      </c>
      <c r="P766" s="18">
        <v>0.8397</v>
      </c>
      <c r="Q766" s="17">
        <v>565.71</v>
      </c>
      <c r="R766" s="15" t="s">
        <v>40</v>
      </c>
    </row>
    <row r="767" spans="1:18" ht="14.25" customHeight="1" x14ac:dyDescent="0.3">
      <c r="A767" s="14">
        <v>45870</v>
      </c>
      <c r="B767" s="15">
        <v>2025</v>
      </c>
      <c r="C767" s="15" t="s">
        <v>45</v>
      </c>
      <c r="D767" s="15" t="s">
        <v>24</v>
      </c>
      <c r="E767" s="15" t="s">
        <v>25</v>
      </c>
      <c r="F767" s="15" t="s">
        <v>26</v>
      </c>
      <c r="G767" s="15" t="s">
        <v>37</v>
      </c>
      <c r="H767" s="16">
        <v>293</v>
      </c>
      <c r="I767" s="17">
        <v>54.63</v>
      </c>
      <c r="J767" s="18">
        <v>6.5000000000000002E-2</v>
      </c>
      <c r="K767" s="17">
        <v>16007.29</v>
      </c>
      <c r="L767" s="17">
        <v>14966.82</v>
      </c>
      <c r="M767" s="17">
        <v>7.85</v>
      </c>
      <c r="N767" s="17">
        <v>2299.0700000000002</v>
      </c>
      <c r="O767" s="17">
        <v>12667.75</v>
      </c>
      <c r="P767" s="18">
        <v>0.84640000000000004</v>
      </c>
      <c r="Q767" s="17">
        <v>514.58000000000004</v>
      </c>
      <c r="R767" s="15" t="s">
        <v>40</v>
      </c>
    </row>
    <row r="768" spans="1:18" ht="14.25" customHeight="1" x14ac:dyDescent="0.3">
      <c r="A768" s="14">
        <v>45870</v>
      </c>
      <c r="B768" s="15">
        <v>2025</v>
      </c>
      <c r="C768" s="15" t="s">
        <v>45</v>
      </c>
      <c r="D768" s="15" t="s">
        <v>27</v>
      </c>
      <c r="E768" s="15" t="s">
        <v>28</v>
      </c>
      <c r="F768" s="15" t="s">
        <v>29</v>
      </c>
      <c r="G768" s="15" t="s">
        <v>37</v>
      </c>
      <c r="H768" s="16">
        <v>208</v>
      </c>
      <c r="I768" s="17">
        <v>55.18</v>
      </c>
      <c r="J768" s="18">
        <v>0.05</v>
      </c>
      <c r="K768" s="17">
        <v>11477.64</v>
      </c>
      <c r="L768" s="17">
        <v>10903.76</v>
      </c>
      <c r="M768" s="17">
        <v>7.85</v>
      </c>
      <c r="N768" s="17">
        <v>1632.1</v>
      </c>
      <c r="O768" s="17">
        <v>9271.66</v>
      </c>
      <c r="P768" s="18">
        <v>0.85029999999999994</v>
      </c>
      <c r="Q768" s="17">
        <v>425.71</v>
      </c>
      <c r="R768" s="15" t="s">
        <v>40</v>
      </c>
    </row>
    <row r="769" spans="1:18" ht="14.25" customHeight="1" x14ac:dyDescent="0.3">
      <c r="A769" s="14">
        <v>45870</v>
      </c>
      <c r="B769" s="15">
        <v>2025</v>
      </c>
      <c r="C769" s="15" t="s">
        <v>45</v>
      </c>
      <c r="D769" s="15" t="s">
        <v>30</v>
      </c>
      <c r="E769" s="15" t="s">
        <v>20</v>
      </c>
      <c r="F769" s="15" t="s">
        <v>26</v>
      </c>
      <c r="G769" s="15" t="s">
        <v>37</v>
      </c>
      <c r="H769" s="16">
        <v>272</v>
      </c>
      <c r="I769" s="17">
        <v>53.54</v>
      </c>
      <c r="J769" s="18">
        <v>9.5000000000000001E-2</v>
      </c>
      <c r="K769" s="17">
        <v>14563.76</v>
      </c>
      <c r="L769" s="17">
        <v>13180.21</v>
      </c>
      <c r="M769" s="17">
        <v>7.85</v>
      </c>
      <c r="N769" s="17">
        <v>2134.29</v>
      </c>
      <c r="O769" s="17">
        <v>11045.92</v>
      </c>
      <c r="P769" s="18">
        <v>0.83809999999999996</v>
      </c>
      <c r="Q769" s="17">
        <v>476.97</v>
      </c>
      <c r="R769" s="15" t="s">
        <v>40</v>
      </c>
    </row>
    <row r="770" spans="1:18" ht="14.25" customHeight="1" x14ac:dyDescent="0.3">
      <c r="A770" s="14">
        <v>45901</v>
      </c>
      <c r="B770" s="15">
        <v>2025</v>
      </c>
      <c r="C770" s="15" t="s">
        <v>46</v>
      </c>
      <c r="D770" s="15" t="s">
        <v>19</v>
      </c>
      <c r="E770" s="15" t="s">
        <v>20</v>
      </c>
      <c r="F770" s="15" t="s">
        <v>21</v>
      </c>
      <c r="G770" s="15" t="s">
        <v>22</v>
      </c>
      <c r="H770" s="16">
        <v>195</v>
      </c>
      <c r="I770" s="17">
        <v>515.94000000000005</v>
      </c>
      <c r="J770" s="18">
        <v>8.5000000000000006E-2</v>
      </c>
      <c r="K770" s="17">
        <v>100608.12</v>
      </c>
      <c r="L770" s="17">
        <v>92056.44</v>
      </c>
      <c r="M770" s="17">
        <v>405.53</v>
      </c>
      <c r="N770" s="17">
        <v>79078.25</v>
      </c>
      <c r="O770" s="17">
        <v>12978.18</v>
      </c>
      <c r="P770" s="18">
        <v>0.14099999999999999</v>
      </c>
      <c r="Q770" s="17">
        <v>1243.22</v>
      </c>
      <c r="R770" s="15" t="s">
        <v>23</v>
      </c>
    </row>
    <row r="771" spans="1:18" ht="14.25" customHeight="1" x14ac:dyDescent="0.3">
      <c r="A771" s="14">
        <v>45901</v>
      </c>
      <c r="B771" s="15">
        <v>2025</v>
      </c>
      <c r="C771" s="15" t="s">
        <v>46</v>
      </c>
      <c r="D771" s="15" t="s">
        <v>24</v>
      </c>
      <c r="E771" s="15" t="s">
        <v>25</v>
      </c>
      <c r="F771" s="15" t="s">
        <v>26</v>
      </c>
      <c r="G771" s="15" t="s">
        <v>22</v>
      </c>
      <c r="H771" s="16">
        <v>159</v>
      </c>
      <c r="I771" s="17">
        <v>521.12</v>
      </c>
      <c r="J771" s="18">
        <v>5.5E-2</v>
      </c>
      <c r="K771" s="17">
        <v>82858.48</v>
      </c>
      <c r="L771" s="17">
        <v>78301.259999999995</v>
      </c>
      <c r="M771" s="17">
        <v>405.53</v>
      </c>
      <c r="N771" s="17">
        <v>64479.19</v>
      </c>
      <c r="O771" s="17">
        <v>13822.07</v>
      </c>
      <c r="P771" s="18">
        <v>0.17649999999999999</v>
      </c>
      <c r="Q771" s="17">
        <v>1159.52</v>
      </c>
      <c r="R771" s="15" t="s">
        <v>23</v>
      </c>
    </row>
    <row r="772" spans="1:18" ht="14.25" customHeight="1" x14ac:dyDescent="0.3">
      <c r="A772" s="14">
        <v>45901</v>
      </c>
      <c r="B772" s="15">
        <v>2025</v>
      </c>
      <c r="C772" s="15" t="s">
        <v>46</v>
      </c>
      <c r="D772" s="15" t="s">
        <v>27</v>
      </c>
      <c r="E772" s="15" t="s">
        <v>28</v>
      </c>
      <c r="F772" s="15" t="s">
        <v>29</v>
      </c>
      <c r="G772" s="15" t="s">
        <v>22</v>
      </c>
      <c r="H772" s="16">
        <v>132</v>
      </c>
      <c r="I772" s="17">
        <v>526.30999999999995</v>
      </c>
      <c r="J772" s="18">
        <v>0.04</v>
      </c>
      <c r="K772" s="17">
        <v>69472.38</v>
      </c>
      <c r="L772" s="17">
        <v>66693.48</v>
      </c>
      <c r="M772" s="17">
        <v>405.53</v>
      </c>
      <c r="N772" s="17">
        <v>53529.89</v>
      </c>
      <c r="O772" s="17">
        <v>13163.59</v>
      </c>
      <c r="P772" s="18">
        <v>0.19739999999999999</v>
      </c>
      <c r="Q772" s="17">
        <v>992.89</v>
      </c>
      <c r="R772" s="15" t="s">
        <v>23</v>
      </c>
    </row>
    <row r="773" spans="1:18" ht="14.25" customHeight="1" x14ac:dyDescent="0.3">
      <c r="A773" s="14">
        <v>45901</v>
      </c>
      <c r="B773" s="15">
        <v>2025</v>
      </c>
      <c r="C773" s="15" t="s">
        <v>46</v>
      </c>
      <c r="D773" s="15" t="s">
        <v>30</v>
      </c>
      <c r="E773" s="15" t="s">
        <v>31</v>
      </c>
      <c r="F773" s="15" t="s">
        <v>32</v>
      </c>
      <c r="G773" s="15" t="s">
        <v>22</v>
      </c>
      <c r="H773" s="16">
        <v>158</v>
      </c>
      <c r="I773" s="17">
        <v>510.76</v>
      </c>
      <c r="J773" s="18">
        <v>0.12</v>
      </c>
      <c r="K773" s="17">
        <v>80699.399999999994</v>
      </c>
      <c r="L773" s="17">
        <v>71015.47</v>
      </c>
      <c r="M773" s="17">
        <v>405.53</v>
      </c>
      <c r="N773" s="17">
        <v>64073.66</v>
      </c>
      <c r="O773" s="17">
        <v>6941.81</v>
      </c>
      <c r="P773" s="18">
        <v>9.7799999999999998E-2</v>
      </c>
      <c r="Q773" s="17">
        <v>674.12</v>
      </c>
      <c r="R773" s="15" t="s">
        <v>23</v>
      </c>
    </row>
    <row r="774" spans="1:18" ht="14.25" customHeight="1" x14ac:dyDescent="0.3">
      <c r="A774" s="14">
        <v>45901</v>
      </c>
      <c r="B774" s="15">
        <v>2025</v>
      </c>
      <c r="C774" s="15" t="s">
        <v>46</v>
      </c>
      <c r="D774" s="15" t="s">
        <v>19</v>
      </c>
      <c r="E774" s="15" t="s">
        <v>25</v>
      </c>
      <c r="F774" s="15" t="s">
        <v>26</v>
      </c>
      <c r="G774" s="15" t="s">
        <v>33</v>
      </c>
      <c r="H774" s="16">
        <v>99</v>
      </c>
      <c r="I774" s="17">
        <v>732.3</v>
      </c>
      <c r="J774" s="18">
        <v>5.5E-2</v>
      </c>
      <c r="K774" s="17">
        <v>72497.539999999994</v>
      </c>
      <c r="L774" s="17">
        <v>68510.17</v>
      </c>
      <c r="M774" s="17">
        <v>601.76</v>
      </c>
      <c r="N774" s="17">
        <v>59574.18</v>
      </c>
      <c r="O774" s="17">
        <v>8936</v>
      </c>
      <c r="P774" s="18">
        <v>0.13039999999999999</v>
      </c>
      <c r="Q774" s="17">
        <v>1091.3499999999999</v>
      </c>
      <c r="R774" s="15" t="s">
        <v>23</v>
      </c>
    </row>
    <row r="775" spans="1:18" ht="14.25" customHeight="1" x14ac:dyDescent="0.3">
      <c r="A775" s="14">
        <v>45901</v>
      </c>
      <c r="B775" s="15">
        <v>2025</v>
      </c>
      <c r="C775" s="15" t="s">
        <v>46</v>
      </c>
      <c r="D775" s="15" t="s">
        <v>24</v>
      </c>
      <c r="E775" s="15" t="s">
        <v>28</v>
      </c>
      <c r="F775" s="15" t="s">
        <v>29</v>
      </c>
      <c r="G775" s="15" t="s">
        <v>33</v>
      </c>
      <c r="H775" s="16">
        <v>79</v>
      </c>
      <c r="I775" s="17">
        <v>739.66</v>
      </c>
      <c r="J775" s="18">
        <v>0.04</v>
      </c>
      <c r="K775" s="17">
        <v>58433.14</v>
      </c>
      <c r="L775" s="17">
        <v>56095.82</v>
      </c>
      <c r="M775" s="17">
        <v>601.76</v>
      </c>
      <c r="N775" s="17">
        <v>47538.99</v>
      </c>
      <c r="O775" s="17">
        <v>8556.83</v>
      </c>
      <c r="P775" s="18">
        <v>0.1525</v>
      </c>
      <c r="Q775" s="17">
        <v>987.91</v>
      </c>
      <c r="R775" s="15" t="s">
        <v>23</v>
      </c>
    </row>
    <row r="776" spans="1:18" ht="14.25" customHeight="1" x14ac:dyDescent="0.3">
      <c r="A776" s="14">
        <v>45901</v>
      </c>
      <c r="B776" s="15">
        <v>2025</v>
      </c>
      <c r="C776" s="15" t="s">
        <v>46</v>
      </c>
      <c r="D776" s="15" t="s">
        <v>27</v>
      </c>
      <c r="E776" s="15" t="s">
        <v>31</v>
      </c>
      <c r="F776" s="15" t="s">
        <v>32</v>
      </c>
      <c r="G776" s="15" t="s">
        <v>33</v>
      </c>
      <c r="H776" s="16">
        <v>167</v>
      </c>
      <c r="I776" s="17">
        <v>747.02</v>
      </c>
      <c r="J776" s="18">
        <v>0.12</v>
      </c>
      <c r="K776" s="17">
        <v>124752.63</v>
      </c>
      <c r="L776" s="17">
        <v>109782.31</v>
      </c>
      <c r="M776" s="17">
        <v>601.76</v>
      </c>
      <c r="N776" s="17">
        <v>100493.81</v>
      </c>
      <c r="O776" s="17">
        <v>9288.5</v>
      </c>
      <c r="P776" s="18">
        <v>8.4599999999999995E-2</v>
      </c>
      <c r="Q776" s="17">
        <v>898.7</v>
      </c>
      <c r="R776" s="15" t="s">
        <v>23</v>
      </c>
    </row>
    <row r="777" spans="1:18" ht="14.25" customHeight="1" x14ac:dyDescent="0.3">
      <c r="A777" s="14">
        <v>45901</v>
      </c>
      <c r="B777" s="15">
        <v>2025</v>
      </c>
      <c r="C777" s="15" t="s">
        <v>46</v>
      </c>
      <c r="D777" s="15" t="s">
        <v>30</v>
      </c>
      <c r="E777" s="15" t="s">
        <v>20</v>
      </c>
      <c r="F777" s="15" t="s">
        <v>21</v>
      </c>
      <c r="G777" s="15" t="s">
        <v>33</v>
      </c>
      <c r="H777" s="16">
        <v>98</v>
      </c>
      <c r="I777" s="17">
        <v>724.94</v>
      </c>
      <c r="J777" s="18">
        <v>8.5000000000000006E-2</v>
      </c>
      <c r="K777" s="17">
        <v>71043.789999999994</v>
      </c>
      <c r="L777" s="17">
        <v>65005.07</v>
      </c>
      <c r="M777" s="17">
        <v>601.76</v>
      </c>
      <c r="N777" s="17">
        <v>58972.42</v>
      </c>
      <c r="O777" s="17">
        <v>6032.65</v>
      </c>
      <c r="P777" s="18">
        <v>9.2799999999999994E-2</v>
      </c>
      <c r="Q777" s="17">
        <v>1099.6300000000001</v>
      </c>
      <c r="R777" s="15" t="s">
        <v>23</v>
      </c>
    </row>
    <row r="778" spans="1:18" ht="14.25" customHeight="1" x14ac:dyDescent="0.3">
      <c r="A778" s="14">
        <v>45901</v>
      </c>
      <c r="B778" s="15">
        <v>2025</v>
      </c>
      <c r="C778" s="15" t="s">
        <v>46</v>
      </c>
      <c r="D778" s="15" t="s">
        <v>19</v>
      </c>
      <c r="E778" s="15" t="s">
        <v>25</v>
      </c>
      <c r="F778" s="15" t="s">
        <v>21</v>
      </c>
      <c r="G778" s="15" t="s">
        <v>34</v>
      </c>
      <c r="H778" s="16">
        <v>199</v>
      </c>
      <c r="I778" s="17">
        <v>233.01</v>
      </c>
      <c r="J778" s="18">
        <v>5.5E-2</v>
      </c>
      <c r="K778" s="17">
        <v>46368.3</v>
      </c>
      <c r="L778" s="17">
        <v>43818.05</v>
      </c>
      <c r="M778" s="17">
        <v>165.7</v>
      </c>
      <c r="N778" s="17">
        <v>32974.67</v>
      </c>
      <c r="O778" s="17">
        <v>10843.38</v>
      </c>
      <c r="P778" s="18">
        <v>0.2475</v>
      </c>
      <c r="Q778" s="17">
        <v>726.86</v>
      </c>
      <c r="R778" s="15" t="s">
        <v>23</v>
      </c>
    </row>
    <row r="779" spans="1:18" ht="14.25" customHeight="1" x14ac:dyDescent="0.3">
      <c r="A779" s="14">
        <v>45901</v>
      </c>
      <c r="B779" s="15">
        <v>2025</v>
      </c>
      <c r="C779" s="15" t="s">
        <v>46</v>
      </c>
      <c r="D779" s="15" t="s">
        <v>24</v>
      </c>
      <c r="E779" s="15" t="s">
        <v>31</v>
      </c>
      <c r="F779" s="15" t="s">
        <v>32</v>
      </c>
      <c r="G779" s="15" t="s">
        <v>34</v>
      </c>
      <c r="H779" s="16">
        <v>295</v>
      </c>
      <c r="I779" s="17">
        <v>235.34</v>
      </c>
      <c r="J779" s="18">
        <v>0.12</v>
      </c>
      <c r="K779" s="17">
        <v>69426.44</v>
      </c>
      <c r="L779" s="17">
        <v>61095.27</v>
      </c>
      <c r="M779" s="17">
        <v>165.7</v>
      </c>
      <c r="N779" s="17">
        <v>48882.05</v>
      </c>
      <c r="O779" s="17">
        <v>12213.22</v>
      </c>
      <c r="P779" s="18">
        <v>0.19989999999999999</v>
      </c>
      <c r="Q779" s="17">
        <v>617.20000000000005</v>
      </c>
      <c r="R779" s="15" t="s">
        <v>23</v>
      </c>
    </row>
    <row r="780" spans="1:18" ht="14.25" customHeight="1" x14ac:dyDescent="0.3">
      <c r="A780" s="14">
        <v>45901</v>
      </c>
      <c r="B780" s="15">
        <v>2025</v>
      </c>
      <c r="C780" s="15" t="s">
        <v>46</v>
      </c>
      <c r="D780" s="15" t="s">
        <v>27</v>
      </c>
      <c r="E780" s="15" t="s">
        <v>20</v>
      </c>
      <c r="F780" s="15" t="s">
        <v>21</v>
      </c>
      <c r="G780" s="15" t="s">
        <v>34</v>
      </c>
      <c r="H780" s="16">
        <v>286</v>
      </c>
      <c r="I780" s="17">
        <v>237.69</v>
      </c>
      <c r="J780" s="18">
        <v>8.5000000000000006E-2</v>
      </c>
      <c r="K780" s="17">
        <v>67979.08</v>
      </c>
      <c r="L780" s="17">
        <v>62200.86</v>
      </c>
      <c r="M780" s="17">
        <v>165.7</v>
      </c>
      <c r="N780" s="17">
        <v>47390.73</v>
      </c>
      <c r="O780" s="17">
        <v>14810.13</v>
      </c>
      <c r="P780" s="18">
        <v>0.23810000000000001</v>
      </c>
      <c r="Q780" s="17">
        <v>988.42</v>
      </c>
      <c r="R780" s="15" t="s">
        <v>23</v>
      </c>
    </row>
    <row r="781" spans="1:18" ht="14.25" customHeight="1" x14ac:dyDescent="0.3">
      <c r="A781" s="14">
        <v>45901</v>
      </c>
      <c r="B781" s="15">
        <v>2025</v>
      </c>
      <c r="C781" s="15" t="s">
        <v>46</v>
      </c>
      <c r="D781" s="15" t="s">
        <v>30</v>
      </c>
      <c r="E781" s="15" t="s">
        <v>25</v>
      </c>
      <c r="F781" s="15" t="s">
        <v>26</v>
      </c>
      <c r="G781" s="15" t="s">
        <v>34</v>
      </c>
      <c r="H781" s="16">
        <v>160</v>
      </c>
      <c r="I781" s="17">
        <v>230.66</v>
      </c>
      <c r="J781" s="18">
        <v>5.5E-2</v>
      </c>
      <c r="K781" s="17">
        <v>36905.81</v>
      </c>
      <c r="L781" s="17">
        <v>34875.99</v>
      </c>
      <c r="M781" s="17">
        <v>165.7</v>
      </c>
      <c r="N781" s="17">
        <v>26512.3</v>
      </c>
      <c r="O781" s="17">
        <v>8363.69</v>
      </c>
      <c r="P781" s="18">
        <v>0.23980000000000001</v>
      </c>
      <c r="Q781" s="17">
        <v>671.23</v>
      </c>
      <c r="R781" s="15" t="s">
        <v>23</v>
      </c>
    </row>
    <row r="782" spans="1:18" ht="14.25" customHeight="1" x14ac:dyDescent="0.3">
      <c r="A782" s="14">
        <v>45901</v>
      </c>
      <c r="B782" s="15">
        <v>2025</v>
      </c>
      <c r="C782" s="15" t="s">
        <v>46</v>
      </c>
      <c r="D782" s="15" t="s">
        <v>19</v>
      </c>
      <c r="E782" s="15" t="s">
        <v>31</v>
      </c>
      <c r="F782" s="15" t="s">
        <v>32</v>
      </c>
      <c r="G782" s="15" t="s">
        <v>35</v>
      </c>
      <c r="H782" s="16">
        <v>998</v>
      </c>
      <c r="I782" s="17">
        <v>11.65</v>
      </c>
      <c r="J782" s="18">
        <v>0.12</v>
      </c>
      <c r="K782" s="17">
        <v>11623.46</v>
      </c>
      <c r="L782" s="17">
        <v>10228.64</v>
      </c>
      <c r="M782" s="17">
        <v>6.11</v>
      </c>
      <c r="N782" s="17">
        <v>6093.39</v>
      </c>
      <c r="O782" s="17">
        <v>4135.26</v>
      </c>
      <c r="P782" s="18">
        <v>0.40429999999999999</v>
      </c>
      <c r="Q782" s="17">
        <v>266.93</v>
      </c>
      <c r="R782" s="15" t="s">
        <v>23</v>
      </c>
    </row>
    <row r="783" spans="1:18" ht="14.25" customHeight="1" x14ac:dyDescent="0.3">
      <c r="A783" s="14">
        <v>45901</v>
      </c>
      <c r="B783" s="15">
        <v>2025</v>
      </c>
      <c r="C783" s="15" t="s">
        <v>46</v>
      </c>
      <c r="D783" s="15" t="s">
        <v>24</v>
      </c>
      <c r="E783" s="15" t="s">
        <v>20</v>
      </c>
      <c r="F783" s="15" t="s">
        <v>21</v>
      </c>
      <c r="G783" s="15" t="s">
        <v>35</v>
      </c>
      <c r="H783" s="16">
        <v>933</v>
      </c>
      <c r="I783" s="17">
        <v>11.77</v>
      </c>
      <c r="J783" s="18">
        <v>8.5000000000000006E-2</v>
      </c>
      <c r="K783" s="17">
        <v>10977.68</v>
      </c>
      <c r="L783" s="17">
        <v>10044.58</v>
      </c>
      <c r="M783" s="17">
        <v>6.11</v>
      </c>
      <c r="N783" s="17">
        <v>5696.52</v>
      </c>
      <c r="O783" s="17">
        <v>4348.05</v>
      </c>
      <c r="P783" s="18">
        <v>0.43290000000000001</v>
      </c>
      <c r="Q783" s="17">
        <v>442.67</v>
      </c>
      <c r="R783" s="15" t="s">
        <v>23</v>
      </c>
    </row>
    <row r="784" spans="1:18" ht="14.25" customHeight="1" x14ac:dyDescent="0.3">
      <c r="A784" s="14">
        <v>45901</v>
      </c>
      <c r="B784" s="15">
        <v>2025</v>
      </c>
      <c r="C784" s="15" t="s">
        <v>46</v>
      </c>
      <c r="D784" s="15" t="s">
        <v>27</v>
      </c>
      <c r="E784" s="15" t="s">
        <v>25</v>
      </c>
      <c r="F784" s="15" t="s">
        <v>26</v>
      </c>
      <c r="G784" s="15" t="s">
        <v>35</v>
      </c>
      <c r="H784" s="16">
        <v>928</v>
      </c>
      <c r="I784" s="17">
        <v>11.89</v>
      </c>
      <c r="J784" s="18">
        <v>5.5E-2</v>
      </c>
      <c r="K784" s="17">
        <v>11029.51</v>
      </c>
      <c r="L784" s="17">
        <v>10422.89</v>
      </c>
      <c r="M784" s="17">
        <v>6.11</v>
      </c>
      <c r="N784" s="17">
        <v>5666</v>
      </c>
      <c r="O784" s="17">
        <v>4756.8900000000003</v>
      </c>
      <c r="P784" s="18">
        <v>0.45639999999999997</v>
      </c>
      <c r="Q784" s="17">
        <v>401.99</v>
      </c>
      <c r="R784" s="15" t="s">
        <v>23</v>
      </c>
    </row>
    <row r="785" spans="1:18" ht="14.25" customHeight="1" x14ac:dyDescent="0.3">
      <c r="A785" s="14">
        <v>45901</v>
      </c>
      <c r="B785" s="15">
        <v>2025</v>
      </c>
      <c r="C785" s="15" t="s">
        <v>46</v>
      </c>
      <c r="D785" s="15" t="s">
        <v>30</v>
      </c>
      <c r="E785" s="15" t="s">
        <v>31</v>
      </c>
      <c r="F785" s="15" t="s">
        <v>32</v>
      </c>
      <c r="G785" s="15" t="s">
        <v>35</v>
      </c>
      <c r="H785" s="16">
        <v>777</v>
      </c>
      <c r="I785" s="17">
        <v>11.54</v>
      </c>
      <c r="J785" s="18">
        <v>0.12</v>
      </c>
      <c r="K785" s="17">
        <v>8963.0400000000009</v>
      </c>
      <c r="L785" s="17">
        <v>7887.48</v>
      </c>
      <c r="M785" s="17">
        <v>6.11</v>
      </c>
      <c r="N785" s="17">
        <v>4744.05</v>
      </c>
      <c r="O785" s="17">
        <v>3143.43</v>
      </c>
      <c r="P785" s="18">
        <v>0.39850000000000002</v>
      </c>
      <c r="Q785" s="17">
        <v>237.82</v>
      </c>
      <c r="R785" s="15" t="s">
        <v>23</v>
      </c>
    </row>
    <row r="786" spans="1:18" ht="14.25" customHeight="1" x14ac:dyDescent="0.3">
      <c r="A786" s="14">
        <v>45901</v>
      </c>
      <c r="B786" s="15">
        <v>2025</v>
      </c>
      <c r="C786" s="15" t="s">
        <v>46</v>
      </c>
      <c r="D786" s="15" t="s">
        <v>19</v>
      </c>
      <c r="E786" s="15" t="s">
        <v>20</v>
      </c>
      <c r="F786" s="15" t="s">
        <v>21</v>
      </c>
      <c r="G786" s="15" t="s">
        <v>36</v>
      </c>
      <c r="H786" s="16">
        <v>325</v>
      </c>
      <c r="I786" s="17">
        <v>70.73</v>
      </c>
      <c r="J786" s="18">
        <v>7.0000000000000007E-2</v>
      </c>
      <c r="K786" s="17">
        <v>22987.62</v>
      </c>
      <c r="L786" s="17">
        <v>21378.49</v>
      </c>
      <c r="M786" s="17">
        <v>15.7</v>
      </c>
      <c r="N786" s="17">
        <v>5102.91</v>
      </c>
      <c r="O786" s="17">
        <v>16275.58</v>
      </c>
      <c r="P786" s="18">
        <v>0.76129999999999998</v>
      </c>
      <c r="Q786" s="17">
        <v>580.72</v>
      </c>
      <c r="R786" s="15" t="s">
        <v>23</v>
      </c>
    </row>
    <row r="787" spans="1:18" ht="14.25" customHeight="1" x14ac:dyDescent="0.3">
      <c r="A787" s="14">
        <v>45901</v>
      </c>
      <c r="B787" s="15">
        <v>2025</v>
      </c>
      <c r="C787" s="15" t="s">
        <v>46</v>
      </c>
      <c r="D787" s="15" t="s">
        <v>24</v>
      </c>
      <c r="E787" s="15" t="s">
        <v>28</v>
      </c>
      <c r="F787" s="15" t="s">
        <v>32</v>
      </c>
      <c r="G787" s="15" t="s">
        <v>36</v>
      </c>
      <c r="H787" s="16">
        <v>208</v>
      </c>
      <c r="I787" s="17">
        <v>71.45</v>
      </c>
      <c r="J787" s="18">
        <v>2.5000000000000001E-2</v>
      </c>
      <c r="K787" s="17">
        <v>14860.9</v>
      </c>
      <c r="L787" s="17">
        <v>14489.38</v>
      </c>
      <c r="M787" s="17">
        <v>15.7</v>
      </c>
      <c r="N787" s="17">
        <v>3265.86</v>
      </c>
      <c r="O787" s="17">
        <v>11223.52</v>
      </c>
      <c r="P787" s="18">
        <v>0.77459999999999996</v>
      </c>
      <c r="Q787" s="17">
        <v>473.06</v>
      </c>
      <c r="R787" s="15" t="s">
        <v>23</v>
      </c>
    </row>
    <row r="788" spans="1:18" ht="14.25" customHeight="1" x14ac:dyDescent="0.3">
      <c r="A788" s="14">
        <v>45901</v>
      </c>
      <c r="B788" s="15">
        <v>2025</v>
      </c>
      <c r="C788" s="15" t="s">
        <v>46</v>
      </c>
      <c r="D788" s="15" t="s">
        <v>27</v>
      </c>
      <c r="E788" s="15" t="s">
        <v>31</v>
      </c>
      <c r="F788" s="15" t="s">
        <v>32</v>
      </c>
      <c r="G788" s="15" t="s">
        <v>36</v>
      </c>
      <c r="H788" s="16">
        <v>410</v>
      </c>
      <c r="I788" s="17">
        <v>72.150000000000006</v>
      </c>
      <c r="J788" s="18">
        <v>0.105</v>
      </c>
      <c r="K788" s="17">
        <v>29583.22</v>
      </c>
      <c r="L788" s="17">
        <v>26476.98</v>
      </c>
      <c r="M788" s="17">
        <v>15.7</v>
      </c>
      <c r="N788" s="17">
        <v>6437.51</v>
      </c>
      <c r="O788" s="17">
        <v>20039.47</v>
      </c>
      <c r="P788" s="18">
        <v>0.75690000000000002</v>
      </c>
      <c r="Q788" s="17">
        <v>434.16</v>
      </c>
      <c r="R788" s="15" t="s">
        <v>23</v>
      </c>
    </row>
    <row r="789" spans="1:18" ht="14.25" customHeight="1" x14ac:dyDescent="0.3">
      <c r="A789" s="14">
        <v>45901</v>
      </c>
      <c r="B789" s="15">
        <v>2025</v>
      </c>
      <c r="C789" s="15" t="s">
        <v>46</v>
      </c>
      <c r="D789" s="15" t="s">
        <v>30</v>
      </c>
      <c r="E789" s="15" t="s">
        <v>20</v>
      </c>
      <c r="F789" s="15" t="s">
        <v>26</v>
      </c>
      <c r="G789" s="15" t="s">
        <v>36</v>
      </c>
      <c r="H789" s="16">
        <v>240</v>
      </c>
      <c r="I789" s="17">
        <v>70.02</v>
      </c>
      <c r="J789" s="18">
        <v>7.0000000000000007E-2</v>
      </c>
      <c r="K789" s="17">
        <v>16805.66</v>
      </c>
      <c r="L789" s="17">
        <v>15629.27</v>
      </c>
      <c r="M789" s="17">
        <v>15.7</v>
      </c>
      <c r="N789" s="17">
        <v>3768.3</v>
      </c>
      <c r="O789" s="17">
        <v>11860.97</v>
      </c>
      <c r="P789" s="18">
        <v>0.75890000000000002</v>
      </c>
      <c r="Q789" s="17">
        <v>545.08000000000004</v>
      </c>
      <c r="R789" s="15" t="s">
        <v>23</v>
      </c>
    </row>
    <row r="790" spans="1:18" ht="14.25" customHeight="1" x14ac:dyDescent="0.3">
      <c r="A790" s="14">
        <v>45901</v>
      </c>
      <c r="B790" s="15">
        <v>2025</v>
      </c>
      <c r="C790" s="15" t="s">
        <v>46</v>
      </c>
      <c r="D790" s="15" t="s">
        <v>19</v>
      </c>
      <c r="E790" s="15" t="s">
        <v>25</v>
      </c>
      <c r="F790" s="15" t="s">
        <v>26</v>
      </c>
      <c r="G790" s="15" t="s">
        <v>37</v>
      </c>
      <c r="H790" s="16">
        <v>212</v>
      </c>
      <c r="I790" s="17">
        <v>54.09</v>
      </c>
      <c r="J790" s="18">
        <v>0.04</v>
      </c>
      <c r="K790" s="17">
        <v>11467.46</v>
      </c>
      <c r="L790" s="17">
        <v>11008.76</v>
      </c>
      <c r="M790" s="17">
        <v>7.85</v>
      </c>
      <c r="N790" s="17">
        <v>1663.49</v>
      </c>
      <c r="O790" s="17">
        <v>9345.27</v>
      </c>
      <c r="P790" s="18">
        <v>0.84889999999999999</v>
      </c>
      <c r="Q790" s="17">
        <v>317.05</v>
      </c>
      <c r="R790" s="15" t="s">
        <v>23</v>
      </c>
    </row>
    <row r="791" spans="1:18" ht="14.25" customHeight="1" x14ac:dyDescent="0.3">
      <c r="A791" s="14">
        <v>45901</v>
      </c>
      <c r="B791" s="15">
        <v>2025</v>
      </c>
      <c r="C791" s="15" t="s">
        <v>46</v>
      </c>
      <c r="D791" s="15" t="s">
        <v>24</v>
      </c>
      <c r="E791" s="15" t="s">
        <v>28</v>
      </c>
      <c r="F791" s="15" t="s">
        <v>29</v>
      </c>
      <c r="G791" s="15" t="s">
        <v>37</v>
      </c>
      <c r="H791" s="16">
        <v>151</v>
      </c>
      <c r="I791" s="17">
        <v>54.63</v>
      </c>
      <c r="J791" s="18">
        <v>2.5000000000000001E-2</v>
      </c>
      <c r="K791" s="17">
        <v>8249.49</v>
      </c>
      <c r="L791" s="17">
        <v>8043.25</v>
      </c>
      <c r="M791" s="17">
        <v>7.85</v>
      </c>
      <c r="N791" s="17">
        <v>1184.8399999999999</v>
      </c>
      <c r="O791" s="17">
        <v>6858.41</v>
      </c>
      <c r="P791" s="18">
        <v>0.85270000000000001</v>
      </c>
      <c r="Q791" s="17">
        <v>298.57</v>
      </c>
      <c r="R791" s="15" t="s">
        <v>23</v>
      </c>
    </row>
    <row r="792" spans="1:18" ht="14.25" customHeight="1" x14ac:dyDescent="0.3">
      <c r="A792" s="14">
        <v>45901</v>
      </c>
      <c r="B792" s="15">
        <v>2025</v>
      </c>
      <c r="C792" s="15" t="s">
        <v>46</v>
      </c>
      <c r="D792" s="15" t="s">
        <v>27</v>
      </c>
      <c r="E792" s="15" t="s">
        <v>20</v>
      </c>
      <c r="F792" s="15" t="s">
        <v>26</v>
      </c>
      <c r="G792" s="15" t="s">
        <v>37</v>
      </c>
      <c r="H792" s="16">
        <v>295</v>
      </c>
      <c r="I792" s="17">
        <v>55.18</v>
      </c>
      <c r="J792" s="18">
        <v>7.0000000000000007E-2</v>
      </c>
      <c r="K792" s="17">
        <v>16278.38</v>
      </c>
      <c r="L792" s="17">
        <v>15138.89</v>
      </c>
      <c r="M792" s="17">
        <v>7.85</v>
      </c>
      <c r="N792" s="17">
        <v>2314.7600000000002</v>
      </c>
      <c r="O792" s="17">
        <v>12824.13</v>
      </c>
      <c r="P792" s="18">
        <v>0.84709999999999996</v>
      </c>
      <c r="Q792" s="17">
        <v>428</v>
      </c>
      <c r="R792" s="15" t="s">
        <v>23</v>
      </c>
    </row>
    <row r="793" spans="1:18" ht="14.25" customHeight="1" x14ac:dyDescent="0.3">
      <c r="A793" s="14">
        <v>45901</v>
      </c>
      <c r="B793" s="15">
        <v>2025</v>
      </c>
      <c r="C793" s="15" t="s">
        <v>46</v>
      </c>
      <c r="D793" s="15" t="s">
        <v>30</v>
      </c>
      <c r="E793" s="15" t="s">
        <v>25</v>
      </c>
      <c r="F793" s="15" t="s">
        <v>21</v>
      </c>
      <c r="G793" s="15" t="s">
        <v>37</v>
      </c>
      <c r="H793" s="16">
        <v>152</v>
      </c>
      <c r="I793" s="17">
        <v>53.54</v>
      </c>
      <c r="J793" s="18">
        <v>0.04</v>
      </c>
      <c r="K793" s="17">
        <v>8138.57</v>
      </c>
      <c r="L793" s="17">
        <v>7813.03</v>
      </c>
      <c r="M793" s="17">
        <v>7.85</v>
      </c>
      <c r="N793" s="17">
        <v>1192.69</v>
      </c>
      <c r="O793" s="17">
        <v>6620.34</v>
      </c>
      <c r="P793" s="18">
        <v>0.84730000000000005</v>
      </c>
      <c r="Q793" s="17">
        <v>267.63</v>
      </c>
      <c r="R793" s="15" t="s">
        <v>23</v>
      </c>
    </row>
    <row r="794" spans="1:18" ht="14.25" customHeight="1" x14ac:dyDescent="0.3">
      <c r="A794" s="14">
        <v>45931</v>
      </c>
      <c r="B794" s="15">
        <v>2025</v>
      </c>
      <c r="C794" s="15" t="s">
        <v>47</v>
      </c>
      <c r="D794" s="15" t="s">
        <v>19</v>
      </c>
      <c r="E794" s="15" t="s">
        <v>25</v>
      </c>
      <c r="F794" s="15" t="s">
        <v>26</v>
      </c>
      <c r="G794" s="15" t="s">
        <v>22</v>
      </c>
      <c r="H794" s="16">
        <v>188</v>
      </c>
      <c r="I794" s="17">
        <v>515.94000000000005</v>
      </c>
      <c r="J794" s="18">
        <v>0.08</v>
      </c>
      <c r="K794" s="17">
        <v>96996.55</v>
      </c>
      <c r="L794" s="17">
        <v>89236.83</v>
      </c>
      <c r="M794" s="17">
        <v>405.53</v>
      </c>
      <c r="N794" s="17">
        <v>76239.55</v>
      </c>
      <c r="O794" s="17">
        <v>12997.28</v>
      </c>
      <c r="P794" s="18">
        <v>0.14560000000000001</v>
      </c>
      <c r="Q794" s="17">
        <v>1514.47</v>
      </c>
      <c r="R794" s="15" t="s">
        <v>40</v>
      </c>
    </row>
    <row r="795" spans="1:18" ht="14.25" customHeight="1" x14ac:dyDescent="0.3">
      <c r="A795" s="14">
        <v>45931</v>
      </c>
      <c r="B795" s="15">
        <v>2025</v>
      </c>
      <c r="C795" s="15" t="s">
        <v>47</v>
      </c>
      <c r="D795" s="15" t="s">
        <v>24</v>
      </c>
      <c r="E795" s="15" t="s">
        <v>28</v>
      </c>
      <c r="F795" s="15" t="s">
        <v>29</v>
      </c>
      <c r="G795" s="15" t="s">
        <v>22</v>
      </c>
      <c r="H795" s="16">
        <v>147</v>
      </c>
      <c r="I795" s="17">
        <v>521.12</v>
      </c>
      <c r="J795" s="18">
        <v>6.5000000000000002E-2</v>
      </c>
      <c r="K795" s="17">
        <v>76605.009999999995</v>
      </c>
      <c r="L795" s="17">
        <v>71625.679999999993</v>
      </c>
      <c r="M795" s="17">
        <v>405.53</v>
      </c>
      <c r="N795" s="17">
        <v>59612.84</v>
      </c>
      <c r="O795" s="17">
        <v>12012.85</v>
      </c>
      <c r="P795" s="18">
        <v>0.16769999999999999</v>
      </c>
      <c r="Q795" s="17">
        <v>1452.53</v>
      </c>
      <c r="R795" s="15" t="s">
        <v>40</v>
      </c>
    </row>
    <row r="796" spans="1:18" ht="14.25" customHeight="1" x14ac:dyDescent="0.3">
      <c r="A796" s="14">
        <v>45931</v>
      </c>
      <c r="B796" s="15">
        <v>2025</v>
      </c>
      <c r="C796" s="15" t="s">
        <v>47</v>
      </c>
      <c r="D796" s="15" t="s">
        <v>27</v>
      </c>
      <c r="E796" s="15" t="s">
        <v>31</v>
      </c>
      <c r="F796" s="15" t="s">
        <v>32</v>
      </c>
      <c r="G796" s="15" t="s">
        <v>22</v>
      </c>
      <c r="H796" s="16">
        <v>309</v>
      </c>
      <c r="I796" s="17">
        <v>526.30999999999995</v>
      </c>
      <c r="J796" s="18">
        <v>0.14499999999999999</v>
      </c>
      <c r="K796" s="17">
        <v>162628.51999999999</v>
      </c>
      <c r="L796" s="17">
        <v>139047.38</v>
      </c>
      <c r="M796" s="17">
        <v>405.53</v>
      </c>
      <c r="N796" s="17">
        <v>125308.62</v>
      </c>
      <c r="O796" s="17">
        <v>13738.77</v>
      </c>
      <c r="P796" s="18">
        <v>9.8799999999999999E-2</v>
      </c>
      <c r="Q796" s="17">
        <v>1353.33</v>
      </c>
      <c r="R796" s="15" t="s">
        <v>40</v>
      </c>
    </row>
    <row r="797" spans="1:18" ht="14.25" customHeight="1" x14ac:dyDescent="0.3">
      <c r="A797" s="14">
        <v>45931</v>
      </c>
      <c r="B797" s="15">
        <v>2025</v>
      </c>
      <c r="C797" s="15" t="s">
        <v>47</v>
      </c>
      <c r="D797" s="15" t="s">
        <v>30</v>
      </c>
      <c r="E797" s="15" t="s">
        <v>20</v>
      </c>
      <c r="F797" s="15" t="s">
        <v>21</v>
      </c>
      <c r="G797" s="15" t="s">
        <v>22</v>
      </c>
      <c r="H797" s="16">
        <v>196</v>
      </c>
      <c r="I797" s="17">
        <v>510.76</v>
      </c>
      <c r="J797" s="18">
        <v>0.11</v>
      </c>
      <c r="K797" s="17">
        <v>100108.12</v>
      </c>
      <c r="L797" s="17">
        <v>89096.22</v>
      </c>
      <c r="M797" s="17">
        <v>405.53</v>
      </c>
      <c r="N797" s="17">
        <v>79483.78</v>
      </c>
      <c r="O797" s="17">
        <v>9612.44</v>
      </c>
      <c r="P797" s="18">
        <v>0.1079</v>
      </c>
      <c r="Q797" s="17">
        <v>1660.69</v>
      </c>
      <c r="R797" s="15" t="s">
        <v>40</v>
      </c>
    </row>
    <row r="798" spans="1:18" ht="14.25" customHeight="1" x14ac:dyDescent="0.3">
      <c r="A798" s="14">
        <v>45931</v>
      </c>
      <c r="B798" s="15">
        <v>2025</v>
      </c>
      <c r="C798" s="15" t="s">
        <v>47</v>
      </c>
      <c r="D798" s="15" t="s">
        <v>19</v>
      </c>
      <c r="E798" s="15" t="s">
        <v>28</v>
      </c>
      <c r="F798" s="15" t="s">
        <v>29</v>
      </c>
      <c r="G798" s="15" t="s">
        <v>33</v>
      </c>
      <c r="H798" s="16">
        <v>86</v>
      </c>
      <c r="I798" s="17">
        <v>732.3</v>
      </c>
      <c r="J798" s="18">
        <v>6.5000000000000002E-2</v>
      </c>
      <c r="K798" s="17">
        <v>62977.66</v>
      </c>
      <c r="L798" s="17">
        <v>58884.11</v>
      </c>
      <c r="M798" s="17">
        <v>601.76</v>
      </c>
      <c r="N798" s="17">
        <v>51751.3</v>
      </c>
      <c r="O798" s="17">
        <v>7132.8</v>
      </c>
      <c r="P798" s="18">
        <v>0.1211</v>
      </c>
      <c r="Q798" s="17">
        <v>1337.07</v>
      </c>
      <c r="R798" s="15" t="s">
        <v>40</v>
      </c>
    </row>
    <row r="799" spans="1:18" ht="14.25" customHeight="1" x14ac:dyDescent="0.3">
      <c r="A799" s="14">
        <v>45931</v>
      </c>
      <c r="B799" s="15">
        <v>2025</v>
      </c>
      <c r="C799" s="15" t="s">
        <v>47</v>
      </c>
      <c r="D799" s="15" t="s">
        <v>24</v>
      </c>
      <c r="E799" s="15" t="s">
        <v>31</v>
      </c>
      <c r="F799" s="15" t="s">
        <v>32</v>
      </c>
      <c r="G799" s="15" t="s">
        <v>33</v>
      </c>
      <c r="H799" s="16">
        <v>189</v>
      </c>
      <c r="I799" s="17">
        <v>739.66</v>
      </c>
      <c r="J799" s="18">
        <v>0.14499999999999999</v>
      </c>
      <c r="K799" s="17">
        <v>139795.75</v>
      </c>
      <c r="L799" s="17">
        <v>119525.36</v>
      </c>
      <c r="M799" s="17">
        <v>601.76</v>
      </c>
      <c r="N799" s="17">
        <v>113732.52</v>
      </c>
      <c r="O799" s="17">
        <v>5792.85</v>
      </c>
      <c r="P799" s="18">
        <v>4.8500000000000001E-2</v>
      </c>
      <c r="Q799" s="17">
        <v>1222.73</v>
      </c>
      <c r="R799" s="15" t="s">
        <v>40</v>
      </c>
    </row>
    <row r="800" spans="1:18" ht="14.25" customHeight="1" x14ac:dyDescent="0.3">
      <c r="A800" s="14">
        <v>45931</v>
      </c>
      <c r="B800" s="15">
        <v>2025</v>
      </c>
      <c r="C800" s="15" t="s">
        <v>47</v>
      </c>
      <c r="D800" s="15" t="s">
        <v>27</v>
      </c>
      <c r="E800" s="15" t="s">
        <v>20</v>
      </c>
      <c r="F800" s="15" t="s">
        <v>21</v>
      </c>
      <c r="G800" s="15" t="s">
        <v>33</v>
      </c>
      <c r="H800" s="16">
        <v>180</v>
      </c>
      <c r="I800" s="17">
        <v>747.02</v>
      </c>
      <c r="J800" s="18">
        <v>0.11</v>
      </c>
      <c r="K800" s="17">
        <v>134463.92000000001</v>
      </c>
      <c r="L800" s="17">
        <v>119672.88</v>
      </c>
      <c r="M800" s="17">
        <v>601.76</v>
      </c>
      <c r="N800" s="17">
        <v>108316.68</v>
      </c>
      <c r="O800" s="17">
        <v>11356.2</v>
      </c>
      <c r="P800" s="18">
        <v>9.4899999999999998E-2</v>
      </c>
      <c r="Q800" s="17">
        <v>2062.1999999999998</v>
      </c>
      <c r="R800" s="15" t="s">
        <v>40</v>
      </c>
    </row>
    <row r="801" spans="1:18" ht="14.25" customHeight="1" x14ac:dyDescent="0.3">
      <c r="A801" s="14">
        <v>45931</v>
      </c>
      <c r="B801" s="15">
        <v>2025</v>
      </c>
      <c r="C801" s="15" t="s">
        <v>47</v>
      </c>
      <c r="D801" s="15" t="s">
        <v>30</v>
      </c>
      <c r="E801" s="15" t="s">
        <v>25</v>
      </c>
      <c r="F801" s="15" t="s">
        <v>26</v>
      </c>
      <c r="G801" s="15" t="s">
        <v>33</v>
      </c>
      <c r="H801" s="16">
        <v>99</v>
      </c>
      <c r="I801" s="17">
        <v>724.94</v>
      </c>
      <c r="J801" s="18">
        <v>0.08</v>
      </c>
      <c r="K801" s="17">
        <v>71768.73</v>
      </c>
      <c r="L801" s="17">
        <v>66027.23</v>
      </c>
      <c r="M801" s="17">
        <v>601.76</v>
      </c>
      <c r="N801" s="17">
        <v>59574.18</v>
      </c>
      <c r="O801" s="17">
        <v>6453.05</v>
      </c>
      <c r="P801" s="18">
        <v>9.7699999999999995E-2</v>
      </c>
      <c r="Q801" s="17">
        <v>1333.17</v>
      </c>
      <c r="R801" s="15" t="s">
        <v>40</v>
      </c>
    </row>
    <row r="802" spans="1:18" ht="14.25" customHeight="1" x14ac:dyDescent="0.3">
      <c r="A802" s="14">
        <v>45931</v>
      </c>
      <c r="B802" s="15">
        <v>2025</v>
      </c>
      <c r="C802" s="15" t="s">
        <v>47</v>
      </c>
      <c r="D802" s="15" t="s">
        <v>19</v>
      </c>
      <c r="E802" s="15" t="s">
        <v>31</v>
      </c>
      <c r="F802" s="15" t="s">
        <v>32</v>
      </c>
      <c r="G802" s="15" t="s">
        <v>34</v>
      </c>
      <c r="H802" s="16">
        <v>382</v>
      </c>
      <c r="I802" s="17">
        <v>233.01</v>
      </c>
      <c r="J802" s="18">
        <v>0.14499999999999999</v>
      </c>
      <c r="K802" s="17">
        <v>89008.5</v>
      </c>
      <c r="L802" s="17">
        <v>76102.27</v>
      </c>
      <c r="M802" s="17">
        <v>165.7</v>
      </c>
      <c r="N802" s="17">
        <v>63298.11</v>
      </c>
      <c r="O802" s="17">
        <v>12804.16</v>
      </c>
      <c r="P802" s="18">
        <v>0.16819999999999999</v>
      </c>
      <c r="Q802" s="17">
        <v>798.61</v>
      </c>
      <c r="R802" s="15" t="s">
        <v>40</v>
      </c>
    </row>
    <row r="803" spans="1:18" ht="14.25" customHeight="1" x14ac:dyDescent="0.3">
      <c r="A803" s="14">
        <v>45931</v>
      </c>
      <c r="B803" s="15">
        <v>2025</v>
      </c>
      <c r="C803" s="15" t="s">
        <v>47</v>
      </c>
      <c r="D803" s="15" t="s">
        <v>24</v>
      </c>
      <c r="E803" s="15" t="s">
        <v>20</v>
      </c>
      <c r="F803" s="15" t="s">
        <v>21</v>
      </c>
      <c r="G803" s="15" t="s">
        <v>34</v>
      </c>
      <c r="H803" s="16">
        <v>366</v>
      </c>
      <c r="I803" s="17">
        <v>235.34</v>
      </c>
      <c r="J803" s="18">
        <v>0.11</v>
      </c>
      <c r="K803" s="17">
        <v>86135.85</v>
      </c>
      <c r="L803" s="17">
        <v>76660.899999999994</v>
      </c>
      <c r="M803" s="17">
        <v>165.7</v>
      </c>
      <c r="N803" s="17">
        <v>60646.879999999997</v>
      </c>
      <c r="O803" s="17">
        <v>16014.03</v>
      </c>
      <c r="P803" s="18">
        <v>0.2089</v>
      </c>
      <c r="Q803" s="17">
        <v>1420.24</v>
      </c>
      <c r="R803" s="15" t="s">
        <v>40</v>
      </c>
    </row>
    <row r="804" spans="1:18" ht="14.25" customHeight="1" x14ac:dyDescent="0.3">
      <c r="A804" s="14">
        <v>45931</v>
      </c>
      <c r="B804" s="15">
        <v>2025</v>
      </c>
      <c r="C804" s="15" t="s">
        <v>47</v>
      </c>
      <c r="D804" s="15" t="s">
        <v>27</v>
      </c>
      <c r="E804" s="15" t="s">
        <v>25</v>
      </c>
      <c r="F804" s="15" t="s">
        <v>26</v>
      </c>
      <c r="G804" s="15" t="s">
        <v>34</v>
      </c>
      <c r="H804" s="16">
        <v>324</v>
      </c>
      <c r="I804" s="17">
        <v>237.69</v>
      </c>
      <c r="J804" s="18">
        <v>0.08</v>
      </c>
      <c r="K804" s="17">
        <v>77011.27</v>
      </c>
      <c r="L804" s="17">
        <v>70850.37</v>
      </c>
      <c r="M804" s="17">
        <v>165.7</v>
      </c>
      <c r="N804" s="17">
        <v>53687.4</v>
      </c>
      <c r="O804" s="17">
        <v>17162.97</v>
      </c>
      <c r="P804" s="18">
        <v>0.2422</v>
      </c>
      <c r="Q804" s="17">
        <v>1260.1400000000001</v>
      </c>
      <c r="R804" s="15" t="s">
        <v>40</v>
      </c>
    </row>
    <row r="805" spans="1:18" ht="14.25" customHeight="1" x14ac:dyDescent="0.3">
      <c r="A805" s="14">
        <v>45931</v>
      </c>
      <c r="B805" s="15">
        <v>2025</v>
      </c>
      <c r="C805" s="15" t="s">
        <v>47</v>
      </c>
      <c r="D805" s="15" t="s">
        <v>30</v>
      </c>
      <c r="E805" s="15" t="s">
        <v>31</v>
      </c>
      <c r="F805" s="15" t="s">
        <v>32</v>
      </c>
      <c r="G805" s="15" t="s">
        <v>34</v>
      </c>
      <c r="H805" s="16">
        <v>285</v>
      </c>
      <c r="I805" s="17">
        <v>230.66</v>
      </c>
      <c r="J805" s="18">
        <v>0.14499999999999999</v>
      </c>
      <c r="K805" s="17">
        <v>65738.47</v>
      </c>
      <c r="L805" s="17">
        <v>56206.39</v>
      </c>
      <c r="M805" s="17">
        <v>165.7</v>
      </c>
      <c r="N805" s="17">
        <v>47225.03</v>
      </c>
      <c r="O805" s="17">
        <v>8981.36</v>
      </c>
      <c r="P805" s="18">
        <v>0.1598</v>
      </c>
      <c r="Q805" s="17">
        <v>741.58</v>
      </c>
      <c r="R805" s="15" t="s">
        <v>40</v>
      </c>
    </row>
    <row r="806" spans="1:18" ht="14.25" customHeight="1" x14ac:dyDescent="0.3">
      <c r="A806" s="14">
        <v>45931</v>
      </c>
      <c r="B806" s="15">
        <v>2025</v>
      </c>
      <c r="C806" s="15" t="s">
        <v>47</v>
      </c>
      <c r="D806" s="15" t="s">
        <v>19</v>
      </c>
      <c r="E806" s="15" t="s">
        <v>20</v>
      </c>
      <c r="F806" s="15" t="s">
        <v>21</v>
      </c>
      <c r="G806" s="15" t="s">
        <v>35</v>
      </c>
      <c r="H806" s="16">
        <v>1153</v>
      </c>
      <c r="I806" s="17">
        <v>11.65</v>
      </c>
      <c r="J806" s="18">
        <v>0.11</v>
      </c>
      <c r="K806" s="17">
        <v>13428.7</v>
      </c>
      <c r="L806" s="17">
        <v>11951.55</v>
      </c>
      <c r="M806" s="17">
        <v>6.11</v>
      </c>
      <c r="N806" s="17">
        <v>7039.76</v>
      </c>
      <c r="O806" s="17">
        <v>4911.79</v>
      </c>
      <c r="P806" s="18">
        <v>0.41099999999999998</v>
      </c>
      <c r="Q806" s="17">
        <v>589.85</v>
      </c>
      <c r="R806" s="15" t="s">
        <v>40</v>
      </c>
    </row>
    <row r="807" spans="1:18" ht="14.25" customHeight="1" x14ac:dyDescent="0.3">
      <c r="A807" s="14">
        <v>45931</v>
      </c>
      <c r="B807" s="15">
        <v>2025</v>
      </c>
      <c r="C807" s="15" t="s">
        <v>47</v>
      </c>
      <c r="D807" s="15" t="s">
        <v>24</v>
      </c>
      <c r="E807" s="15" t="s">
        <v>25</v>
      </c>
      <c r="F807" s="15" t="s">
        <v>26</v>
      </c>
      <c r="G807" s="15" t="s">
        <v>35</v>
      </c>
      <c r="H807" s="16">
        <v>1116</v>
      </c>
      <c r="I807" s="17">
        <v>11.77</v>
      </c>
      <c r="J807" s="18">
        <v>0.08</v>
      </c>
      <c r="K807" s="17">
        <v>13130.86</v>
      </c>
      <c r="L807" s="17">
        <v>12080.39</v>
      </c>
      <c r="M807" s="17">
        <v>6.11</v>
      </c>
      <c r="N807" s="17">
        <v>6813.85</v>
      </c>
      <c r="O807" s="17">
        <v>5266.54</v>
      </c>
      <c r="P807" s="18">
        <v>0.436</v>
      </c>
      <c r="Q807" s="17">
        <v>563.67999999999995</v>
      </c>
      <c r="R807" s="15" t="s">
        <v>40</v>
      </c>
    </row>
    <row r="808" spans="1:18" ht="14.25" customHeight="1" x14ac:dyDescent="0.3">
      <c r="A808" s="14">
        <v>45931</v>
      </c>
      <c r="B808" s="15">
        <v>2025</v>
      </c>
      <c r="C808" s="15" t="s">
        <v>47</v>
      </c>
      <c r="D808" s="15" t="s">
        <v>27</v>
      </c>
      <c r="E808" s="15" t="s">
        <v>31</v>
      </c>
      <c r="F808" s="15" t="s">
        <v>32</v>
      </c>
      <c r="G808" s="15" t="s">
        <v>35</v>
      </c>
      <c r="H808" s="16">
        <v>1639</v>
      </c>
      <c r="I808" s="17">
        <v>11.89</v>
      </c>
      <c r="J808" s="18">
        <v>0.14499999999999999</v>
      </c>
      <c r="K808" s="17">
        <v>19479.919999999998</v>
      </c>
      <c r="L808" s="17">
        <v>16655.34</v>
      </c>
      <c r="M808" s="17">
        <v>6.11</v>
      </c>
      <c r="N808" s="17">
        <v>10007.08</v>
      </c>
      <c r="O808" s="17">
        <v>6648.26</v>
      </c>
      <c r="P808" s="18">
        <v>0.3992</v>
      </c>
      <c r="Q808" s="17">
        <v>445.05</v>
      </c>
      <c r="R808" s="15" t="s">
        <v>40</v>
      </c>
    </row>
    <row r="809" spans="1:18" ht="14.25" customHeight="1" x14ac:dyDescent="0.3">
      <c r="A809" s="14">
        <v>45931</v>
      </c>
      <c r="B809" s="15">
        <v>2025</v>
      </c>
      <c r="C809" s="15" t="s">
        <v>47</v>
      </c>
      <c r="D809" s="15" t="s">
        <v>30</v>
      </c>
      <c r="E809" s="15" t="s">
        <v>20</v>
      </c>
      <c r="F809" s="15" t="s">
        <v>26</v>
      </c>
      <c r="G809" s="15" t="s">
        <v>35</v>
      </c>
      <c r="H809" s="16">
        <v>945</v>
      </c>
      <c r="I809" s="17">
        <v>11.54</v>
      </c>
      <c r="J809" s="18">
        <v>0.11</v>
      </c>
      <c r="K809" s="17">
        <v>10901</v>
      </c>
      <c r="L809" s="17">
        <v>9701.89</v>
      </c>
      <c r="M809" s="17">
        <v>6.11</v>
      </c>
      <c r="N809" s="17">
        <v>5769.79</v>
      </c>
      <c r="O809" s="17">
        <v>3932.1</v>
      </c>
      <c r="P809" s="18">
        <v>0.40529999999999999</v>
      </c>
      <c r="Q809" s="17">
        <v>544.65</v>
      </c>
      <c r="R809" s="15" t="s">
        <v>40</v>
      </c>
    </row>
    <row r="810" spans="1:18" ht="14.25" customHeight="1" x14ac:dyDescent="0.3">
      <c r="A810" s="14">
        <v>45931</v>
      </c>
      <c r="B810" s="15">
        <v>2025</v>
      </c>
      <c r="C810" s="15" t="s">
        <v>47</v>
      </c>
      <c r="D810" s="15" t="s">
        <v>19</v>
      </c>
      <c r="E810" s="15" t="s">
        <v>28</v>
      </c>
      <c r="F810" s="15" t="s">
        <v>32</v>
      </c>
      <c r="G810" s="15" t="s">
        <v>36</v>
      </c>
      <c r="H810" s="16">
        <v>231</v>
      </c>
      <c r="I810" s="17">
        <v>70.73</v>
      </c>
      <c r="J810" s="18">
        <v>0.05</v>
      </c>
      <c r="K810" s="17">
        <v>16338.9</v>
      </c>
      <c r="L810" s="17">
        <v>15521.95</v>
      </c>
      <c r="M810" s="17">
        <v>15.7</v>
      </c>
      <c r="N810" s="17">
        <v>3626.99</v>
      </c>
      <c r="O810" s="17">
        <v>11894.96</v>
      </c>
      <c r="P810" s="18">
        <v>0.76629999999999998</v>
      </c>
      <c r="Q810" s="17">
        <v>643.37</v>
      </c>
      <c r="R810" s="15" t="s">
        <v>40</v>
      </c>
    </row>
    <row r="811" spans="1:18" ht="14.25" customHeight="1" x14ac:dyDescent="0.3">
      <c r="A811" s="14">
        <v>45931</v>
      </c>
      <c r="B811" s="15">
        <v>2025</v>
      </c>
      <c r="C811" s="15" t="s">
        <v>47</v>
      </c>
      <c r="D811" s="15" t="s">
        <v>24</v>
      </c>
      <c r="E811" s="15" t="s">
        <v>31</v>
      </c>
      <c r="F811" s="15" t="s">
        <v>32</v>
      </c>
      <c r="G811" s="15" t="s">
        <v>36</v>
      </c>
      <c r="H811" s="16">
        <v>476</v>
      </c>
      <c r="I811" s="17">
        <v>71.45</v>
      </c>
      <c r="J811" s="18">
        <v>0.13</v>
      </c>
      <c r="K811" s="17">
        <v>34008.61</v>
      </c>
      <c r="L811" s="17">
        <v>29587.48</v>
      </c>
      <c r="M811" s="17">
        <v>15.7</v>
      </c>
      <c r="N811" s="17">
        <v>7473.8</v>
      </c>
      <c r="O811" s="17">
        <v>22113.69</v>
      </c>
      <c r="P811" s="18">
        <v>0.74739999999999995</v>
      </c>
      <c r="Q811" s="17">
        <v>629.09</v>
      </c>
      <c r="R811" s="15" t="s">
        <v>40</v>
      </c>
    </row>
    <row r="812" spans="1:18" ht="14.25" customHeight="1" x14ac:dyDescent="0.3">
      <c r="A812" s="14">
        <v>45931</v>
      </c>
      <c r="B812" s="15">
        <v>2025</v>
      </c>
      <c r="C812" s="15" t="s">
        <v>47</v>
      </c>
      <c r="D812" s="15" t="s">
        <v>27</v>
      </c>
      <c r="E812" s="15" t="s">
        <v>20</v>
      </c>
      <c r="F812" s="15" t="s">
        <v>26</v>
      </c>
      <c r="G812" s="15" t="s">
        <v>36</v>
      </c>
      <c r="H812" s="16">
        <v>479</v>
      </c>
      <c r="I812" s="17">
        <v>72.150000000000006</v>
      </c>
      <c r="J812" s="18">
        <v>9.5000000000000001E-2</v>
      </c>
      <c r="K812" s="17">
        <v>34561.86</v>
      </c>
      <c r="L812" s="17">
        <v>31278.49</v>
      </c>
      <c r="M812" s="17">
        <v>15.7</v>
      </c>
      <c r="N812" s="17">
        <v>7520.9</v>
      </c>
      <c r="O812" s="17">
        <v>23757.59</v>
      </c>
      <c r="P812" s="18">
        <v>0.75960000000000005</v>
      </c>
      <c r="Q812" s="17">
        <v>1014.4</v>
      </c>
      <c r="R812" s="15" t="s">
        <v>40</v>
      </c>
    </row>
    <row r="813" spans="1:18" ht="14.25" customHeight="1" x14ac:dyDescent="0.3">
      <c r="A813" s="14">
        <v>45931</v>
      </c>
      <c r="B813" s="15">
        <v>2025</v>
      </c>
      <c r="C813" s="15" t="s">
        <v>47</v>
      </c>
      <c r="D813" s="15" t="s">
        <v>30</v>
      </c>
      <c r="E813" s="15" t="s">
        <v>28</v>
      </c>
      <c r="F813" s="15" t="s">
        <v>29</v>
      </c>
      <c r="G813" s="15" t="s">
        <v>36</v>
      </c>
      <c r="H813" s="16">
        <v>185</v>
      </c>
      <c r="I813" s="17">
        <v>70.02</v>
      </c>
      <c r="J813" s="18">
        <v>0.05</v>
      </c>
      <c r="K813" s="17">
        <v>12954.37</v>
      </c>
      <c r="L813" s="17">
        <v>12306.65</v>
      </c>
      <c r="M813" s="17">
        <v>15.7</v>
      </c>
      <c r="N813" s="17">
        <v>2904.73</v>
      </c>
      <c r="O813" s="17">
        <v>9401.92</v>
      </c>
      <c r="P813" s="18">
        <v>0.76400000000000001</v>
      </c>
      <c r="Q813" s="17">
        <v>551.39</v>
      </c>
      <c r="R813" s="15" t="s">
        <v>40</v>
      </c>
    </row>
    <row r="814" spans="1:18" ht="14.25" customHeight="1" x14ac:dyDescent="0.3">
      <c r="A814" s="14">
        <v>45931</v>
      </c>
      <c r="B814" s="15">
        <v>2025</v>
      </c>
      <c r="C814" s="15" t="s">
        <v>47</v>
      </c>
      <c r="D814" s="15" t="s">
        <v>19</v>
      </c>
      <c r="E814" s="15" t="s">
        <v>28</v>
      </c>
      <c r="F814" s="15" t="s">
        <v>29</v>
      </c>
      <c r="G814" s="15" t="s">
        <v>37</v>
      </c>
      <c r="H814" s="16">
        <v>175</v>
      </c>
      <c r="I814" s="17">
        <v>54.09</v>
      </c>
      <c r="J814" s="18">
        <v>0.05</v>
      </c>
      <c r="K814" s="17">
        <v>9466.07</v>
      </c>
      <c r="L814" s="17">
        <v>8992.76</v>
      </c>
      <c r="M814" s="17">
        <v>7.85</v>
      </c>
      <c r="N814" s="17">
        <v>1373.16</v>
      </c>
      <c r="O814" s="17">
        <v>7619.6</v>
      </c>
      <c r="P814" s="18">
        <v>0.84730000000000005</v>
      </c>
      <c r="Q814" s="17">
        <v>378.13</v>
      </c>
      <c r="R814" s="15" t="s">
        <v>40</v>
      </c>
    </row>
    <row r="815" spans="1:18" ht="14.25" customHeight="1" x14ac:dyDescent="0.3">
      <c r="A815" s="14">
        <v>45931</v>
      </c>
      <c r="B815" s="15">
        <v>2025</v>
      </c>
      <c r="C815" s="15" t="s">
        <v>47</v>
      </c>
      <c r="D815" s="15" t="s">
        <v>24</v>
      </c>
      <c r="E815" s="15" t="s">
        <v>20</v>
      </c>
      <c r="F815" s="15" t="s">
        <v>26</v>
      </c>
      <c r="G815" s="15" t="s">
        <v>37</v>
      </c>
      <c r="H815" s="16">
        <v>349</v>
      </c>
      <c r="I815" s="17">
        <v>54.63</v>
      </c>
      <c r="J815" s="18">
        <v>9.5000000000000001E-2</v>
      </c>
      <c r="K815" s="17">
        <v>19066.71</v>
      </c>
      <c r="L815" s="17">
        <v>17255.37</v>
      </c>
      <c r="M815" s="17">
        <v>7.85</v>
      </c>
      <c r="N815" s="17">
        <v>2738.48</v>
      </c>
      <c r="O815" s="17">
        <v>14516.89</v>
      </c>
      <c r="P815" s="18">
        <v>0.84130000000000005</v>
      </c>
      <c r="Q815" s="17">
        <v>586.88</v>
      </c>
      <c r="R815" s="15" t="s">
        <v>40</v>
      </c>
    </row>
    <row r="816" spans="1:18" ht="14.25" customHeight="1" x14ac:dyDescent="0.3">
      <c r="A816" s="14">
        <v>45931</v>
      </c>
      <c r="B816" s="15">
        <v>2025</v>
      </c>
      <c r="C816" s="15" t="s">
        <v>47</v>
      </c>
      <c r="D816" s="15" t="s">
        <v>27</v>
      </c>
      <c r="E816" s="15" t="s">
        <v>25</v>
      </c>
      <c r="F816" s="15" t="s">
        <v>21</v>
      </c>
      <c r="G816" s="15" t="s">
        <v>37</v>
      </c>
      <c r="H816" s="16">
        <v>302</v>
      </c>
      <c r="I816" s="17">
        <v>55.18</v>
      </c>
      <c r="J816" s="18">
        <v>6.5000000000000002E-2</v>
      </c>
      <c r="K816" s="17">
        <v>16664.650000000001</v>
      </c>
      <c r="L816" s="17">
        <v>15581.44</v>
      </c>
      <c r="M816" s="17">
        <v>7.85</v>
      </c>
      <c r="N816" s="17">
        <v>2369.69</v>
      </c>
      <c r="O816" s="17">
        <v>13211.76</v>
      </c>
      <c r="P816" s="18">
        <v>0.84789999999999999</v>
      </c>
      <c r="Q816" s="17">
        <v>520.84</v>
      </c>
      <c r="R816" s="15" t="s">
        <v>40</v>
      </c>
    </row>
    <row r="817" spans="1:18" ht="14.25" customHeight="1" x14ac:dyDescent="0.3">
      <c r="A817" s="14">
        <v>45931</v>
      </c>
      <c r="B817" s="15">
        <v>2025</v>
      </c>
      <c r="C817" s="15" t="s">
        <v>47</v>
      </c>
      <c r="D817" s="15" t="s">
        <v>30</v>
      </c>
      <c r="E817" s="15" t="s">
        <v>28</v>
      </c>
      <c r="F817" s="15" t="s">
        <v>32</v>
      </c>
      <c r="G817" s="15" t="s">
        <v>37</v>
      </c>
      <c r="H817" s="16">
        <v>140</v>
      </c>
      <c r="I817" s="17">
        <v>53.54</v>
      </c>
      <c r="J817" s="18">
        <v>0.05</v>
      </c>
      <c r="K817" s="17">
        <v>7496.06</v>
      </c>
      <c r="L817" s="17">
        <v>7121.25</v>
      </c>
      <c r="M817" s="17">
        <v>7.85</v>
      </c>
      <c r="N817" s="17">
        <v>1098.53</v>
      </c>
      <c r="O817" s="17">
        <v>6022.72</v>
      </c>
      <c r="P817" s="18">
        <v>0.84570000000000001</v>
      </c>
      <c r="Q817" s="17">
        <v>350.93</v>
      </c>
      <c r="R817" s="15" t="s">
        <v>40</v>
      </c>
    </row>
    <row r="818" spans="1:18" ht="14.25" customHeight="1" x14ac:dyDescent="0.3">
      <c r="A818" s="14">
        <v>45962</v>
      </c>
      <c r="B818" s="15">
        <v>2025</v>
      </c>
      <c r="C818" s="15" t="s">
        <v>48</v>
      </c>
      <c r="D818" s="15" t="s">
        <v>19</v>
      </c>
      <c r="E818" s="15" t="s">
        <v>28</v>
      </c>
      <c r="F818" s="15" t="s">
        <v>29</v>
      </c>
      <c r="G818" s="15" t="s">
        <v>22</v>
      </c>
      <c r="H818" s="16">
        <v>150</v>
      </c>
      <c r="I818" s="17">
        <v>515.94000000000005</v>
      </c>
      <c r="J818" s="18">
        <v>6.5000000000000002E-2</v>
      </c>
      <c r="K818" s="17">
        <v>77390.87</v>
      </c>
      <c r="L818" s="17">
        <v>72360.45</v>
      </c>
      <c r="M818" s="17">
        <v>405.53</v>
      </c>
      <c r="N818" s="17">
        <v>60829.43</v>
      </c>
      <c r="O818" s="17">
        <v>11531.03</v>
      </c>
      <c r="P818" s="18">
        <v>0.15939999999999999</v>
      </c>
      <c r="Q818" s="17">
        <v>1360.96</v>
      </c>
      <c r="R818" s="15" t="s">
        <v>40</v>
      </c>
    </row>
    <row r="819" spans="1:18" ht="14.25" customHeight="1" x14ac:dyDescent="0.3">
      <c r="A819" s="14">
        <v>45962</v>
      </c>
      <c r="B819" s="15">
        <v>2025</v>
      </c>
      <c r="C819" s="15" t="s">
        <v>48</v>
      </c>
      <c r="D819" s="15" t="s">
        <v>24</v>
      </c>
      <c r="E819" s="15" t="s">
        <v>31</v>
      </c>
      <c r="F819" s="15" t="s">
        <v>32</v>
      </c>
      <c r="G819" s="15" t="s">
        <v>22</v>
      </c>
      <c r="H819" s="16">
        <v>325</v>
      </c>
      <c r="I819" s="17">
        <v>521.12</v>
      </c>
      <c r="J819" s="18">
        <v>0.14499999999999999</v>
      </c>
      <c r="K819" s="17">
        <v>169364.81</v>
      </c>
      <c r="L819" s="17">
        <v>144806.91</v>
      </c>
      <c r="M819" s="17">
        <v>405.53</v>
      </c>
      <c r="N819" s="17">
        <v>131797.09</v>
      </c>
      <c r="O819" s="17">
        <v>13009.83</v>
      </c>
      <c r="P819" s="18">
        <v>8.9800000000000005E-2</v>
      </c>
      <c r="Q819" s="17">
        <v>1223.3</v>
      </c>
      <c r="R819" s="15" t="s">
        <v>40</v>
      </c>
    </row>
    <row r="820" spans="1:18" ht="14.25" customHeight="1" x14ac:dyDescent="0.3">
      <c r="A820" s="14">
        <v>45962</v>
      </c>
      <c r="B820" s="15">
        <v>2025</v>
      </c>
      <c r="C820" s="15" t="s">
        <v>48</v>
      </c>
      <c r="D820" s="15" t="s">
        <v>27</v>
      </c>
      <c r="E820" s="15" t="s">
        <v>20</v>
      </c>
      <c r="F820" s="15" t="s">
        <v>21</v>
      </c>
      <c r="G820" s="15" t="s">
        <v>22</v>
      </c>
      <c r="H820" s="16">
        <v>297</v>
      </c>
      <c r="I820" s="17">
        <v>526.30999999999995</v>
      </c>
      <c r="J820" s="18">
        <v>0.11</v>
      </c>
      <c r="K820" s="17">
        <v>156312.85</v>
      </c>
      <c r="L820" s="17">
        <v>139118.44</v>
      </c>
      <c r="M820" s="17">
        <v>405.53</v>
      </c>
      <c r="N820" s="17">
        <v>120442.26</v>
      </c>
      <c r="O820" s="17">
        <v>18676.18</v>
      </c>
      <c r="P820" s="18">
        <v>0.13420000000000001</v>
      </c>
      <c r="Q820" s="17">
        <v>2066.83</v>
      </c>
      <c r="R820" s="15" t="s">
        <v>40</v>
      </c>
    </row>
    <row r="821" spans="1:18" ht="14.25" customHeight="1" x14ac:dyDescent="0.3">
      <c r="A821" s="14">
        <v>45962</v>
      </c>
      <c r="B821" s="15">
        <v>2025</v>
      </c>
      <c r="C821" s="15" t="s">
        <v>48</v>
      </c>
      <c r="D821" s="15" t="s">
        <v>30</v>
      </c>
      <c r="E821" s="15" t="s">
        <v>25</v>
      </c>
      <c r="F821" s="15" t="s">
        <v>26</v>
      </c>
      <c r="G821" s="15" t="s">
        <v>22</v>
      </c>
      <c r="H821" s="16">
        <v>159</v>
      </c>
      <c r="I821" s="17">
        <v>510.76</v>
      </c>
      <c r="J821" s="18">
        <v>0.08</v>
      </c>
      <c r="K821" s="17">
        <v>81210.16</v>
      </c>
      <c r="L821" s="17">
        <v>74713.34</v>
      </c>
      <c r="M821" s="17">
        <v>405.53</v>
      </c>
      <c r="N821" s="17">
        <v>64479.19</v>
      </c>
      <c r="O821" s="17">
        <v>10234.15</v>
      </c>
      <c r="P821" s="18">
        <v>0.13700000000000001</v>
      </c>
      <c r="Q821" s="17">
        <v>1365.79</v>
      </c>
      <c r="R821" s="15" t="s">
        <v>40</v>
      </c>
    </row>
    <row r="822" spans="1:18" ht="14.25" customHeight="1" x14ac:dyDescent="0.3">
      <c r="A822" s="14">
        <v>45962</v>
      </c>
      <c r="B822" s="15">
        <v>2025</v>
      </c>
      <c r="C822" s="15" t="s">
        <v>48</v>
      </c>
      <c r="D822" s="15" t="s">
        <v>19</v>
      </c>
      <c r="E822" s="15" t="s">
        <v>31</v>
      </c>
      <c r="F822" s="15" t="s">
        <v>32</v>
      </c>
      <c r="G822" s="15" t="s">
        <v>33</v>
      </c>
      <c r="H822" s="16">
        <v>176</v>
      </c>
      <c r="I822" s="17">
        <v>732.3</v>
      </c>
      <c r="J822" s="18">
        <v>0.14499999999999999</v>
      </c>
      <c r="K822" s="17">
        <v>128884.51</v>
      </c>
      <c r="L822" s="17">
        <v>110196.25</v>
      </c>
      <c r="M822" s="17">
        <v>601.76</v>
      </c>
      <c r="N822" s="17">
        <v>105909.65</v>
      </c>
      <c r="O822" s="17">
        <v>4286.6099999999997</v>
      </c>
      <c r="P822" s="18">
        <v>3.8899999999999997E-2</v>
      </c>
      <c r="Q822" s="17">
        <v>1143.6199999999999</v>
      </c>
      <c r="R822" s="15" t="s">
        <v>40</v>
      </c>
    </row>
    <row r="823" spans="1:18" ht="14.25" customHeight="1" x14ac:dyDescent="0.3">
      <c r="A823" s="14">
        <v>45962</v>
      </c>
      <c r="B823" s="15">
        <v>2025</v>
      </c>
      <c r="C823" s="15" t="s">
        <v>48</v>
      </c>
      <c r="D823" s="15" t="s">
        <v>24</v>
      </c>
      <c r="E823" s="15" t="s">
        <v>20</v>
      </c>
      <c r="F823" s="15" t="s">
        <v>21</v>
      </c>
      <c r="G823" s="15" t="s">
        <v>33</v>
      </c>
      <c r="H823" s="16">
        <v>170</v>
      </c>
      <c r="I823" s="17">
        <v>739.66</v>
      </c>
      <c r="J823" s="18">
        <v>0.11</v>
      </c>
      <c r="K823" s="17">
        <v>125742.21</v>
      </c>
      <c r="L823" s="17">
        <v>111910.57</v>
      </c>
      <c r="M823" s="17">
        <v>601.76</v>
      </c>
      <c r="N823" s="17">
        <v>102299.09</v>
      </c>
      <c r="O823" s="17">
        <v>9611.48</v>
      </c>
      <c r="P823" s="18">
        <v>8.5900000000000004E-2</v>
      </c>
      <c r="Q823" s="17">
        <v>1949.95</v>
      </c>
      <c r="R823" s="15" t="s">
        <v>40</v>
      </c>
    </row>
    <row r="824" spans="1:18" ht="14.25" customHeight="1" x14ac:dyDescent="0.3">
      <c r="A824" s="14">
        <v>45962</v>
      </c>
      <c r="B824" s="15">
        <v>2025</v>
      </c>
      <c r="C824" s="15" t="s">
        <v>48</v>
      </c>
      <c r="D824" s="15" t="s">
        <v>27</v>
      </c>
      <c r="E824" s="15" t="s">
        <v>25</v>
      </c>
      <c r="F824" s="15" t="s">
        <v>26</v>
      </c>
      <c r="G824" s="15" t="s">
        <v>33</v>
      </c>
      <c r="H824" s="16">
        <v>157</v>
      </c>
      <c r="I824" s="17">
        <v>747.02</v>
      </c>
      <c r="J824" s="18">
        <v>0.08</v>
      </c>
      <c r="K824" s="17">
        <v>117282.41</v>
      </c>
      <c r="L824" s="17">
        <v>107899.82</v>
      </c>
      <c r="M824" s="17">
        <v>601.76</v>
      </c>
      <c r="N824" s="17">
        <v>94476.22</v>
      </c>
      <c r="O824" s="17">
        <v>13423.61</v>
      </c>
      <c r="P824" s="18">
        <v>0.1244</v>
      </c>
      <c r="Q824" s="17">
        <v>1759.05</v>
      </c>
      <c r="R824" s="15" t="s">
        <v>40</v>
      </c>
    </row>
    <row r="825" spans="1:18" ht="14.25" customHeight="1" x14ac:dyDescent="0.3">
      <c r="A825" s="14">
        <v>45962</v>
      </c>
      <c r="B825" s="15">
        <v>2025</v>
      </c>
      <c r="C825" s="15" t="s">
        <v>48</v>
      </c>
      <c r="D825" s="15" t="s">
        <v>30</v>
      </c>
      <c r="E825" s="15" t="s">
        <v>28</v>
      </c>
      <c r="F825" s="15" t="s">
        <v>29</v>
      </c>
      <c r="G825" s="15" t="s">
        <v>33</v>
      </c>
      <c r="H825" s="16">
        <v>71</v>
      </c>
      <c r="I825" s="17">
        <v>724.94</v>
      </c>
      <c r="J825" s="18">
        <v>6.5000000000000002E-2</v>
      </c>
      <c r="K825" s="17">
        <v>51470.5</v>
      </c>
      <c r="L825" s="17">
        <v>48124.92</v>
      </c>
      <c r="M825" s="17">
        <v>601.76</v>
      </c>
      <c r="N825" s="17">
        <v>42724.91</v>
      </c>
      <c r="O825" s="17">
        <v>5400.01</v>
      </c>
      <c r="P825" s="18">
        <v>0.11219999999999999</v>
      </c>
      <c r="Q825" s="17">
        <v>1198.07</v>
      </c>
      <c r="R825" s="15" t="s">
        <v>40</v>
      </c>
    </row>
    <row r="826" spans="1:18" ht="14.25" customHeight="1" x14ac:dyDescent="0.3">
      <c r="A826" s="14">
        <v>45962</v>
      </c>
      <c r="B826" s="15">
        <v>2025</v>
      </c>
      <c r="C826" s="15" t="s">
        <v>48</v>
      </c>
      <c r="D826" s="15" t="s">
        <v>19</v>
      </c>
      <c r="E826" s="15" t="s">
        <v>20</v>
      </c>
      <c r="F826" s="15" t="s">
        <v>21</v>
      </c>
      <c r="G826" s="15" t="s">
        <v>34</v>
      </c>
      <c r="H826" s="16">
        <v>333</v>
      </c>
      <c r="I826" s="17">
        <v>233.01</v>
      </c>
      <c r="J826" s="18">
        <v>0.11</v>
      </c>
      <c r="K826" s="17">
        <v>77591.179999999993</v>
      </c>
      <c r="L826" s="17">
        <v>69056.149999999994</v>
      </c>
      <c r="M826" s="17">
        <v>165.7</v>
      </c>
      <c r="N826" s="17">
        <v>55178.720000000001</v>
      </c>
      <c r="O826" s="17">
        <v>13877.43</v>
      </c>
      <c r="P826" s="18">
        <v>0.20100000000000001</v>
      </c>
      <c r="Q826" s="17">
        <v>1274.3900000000001</v>
      </c>
      <c r="R826" s="15" t="s">
        <v>40</v>
      </c>
    </row>
    <row r="827" spans="1:18" ht="14.25" customHeight="1" x14ac:dyDescent="0.3">
      <c r="A827" s="14">
        <v>45962</v>
      </c>
      <c r="B827" s="15">
        <v>2025</v>
      </c>
      <c r="C827" s="15" t="s">
        <v>48</v>
      </c>
      <c r="D827" s="15" t="s">
        <v>24</v>
      </c>
      <c r="E827" s="15" t="s">
        <v>25</v>
      </c>
      <c r="F827" s="15" t="s">
        <v>26</v>
      </c>
      <c r="G827" s="15" t="s">
        <v>34</v>
      </c>
      <c r="H827" s="16">
        <v>315</v>
      </c>
      <c r="I827" s="17">
        <v>235.34</v>
      </c>
      <c r="J827" s="18">
        <v>0.08</v>
      </c>
      <c r="K827" s="17">
        <v>74133.31</v>
      </c>
      <c r="L827" s="17">
        <v>68202.64</v>
      </c>
      <c r="M827" s="17">
        <v>165.7</v>
      </c>
      <c r="N827" s="17">
        <v>52196.08</v>
      </c>
      <c r="O827" s="17">
        <v>16006.56</v>
      </c>
      <c r="P827" s="18">
        <v>0.23469999999999999</v>
      </c>
      <c r="Q827" s="17">
        <v>1165</v>
      </c>
      <c r="R827" s="15" t="s">
        <v>40</v>
      </c>
    </row>
    <row r="828" spans="1:18" ht="14.25" customHeight="1" x14ac:dyDescent="0.3">
      <c r="A828" s="14">
        <v>45962</v>
      </c>
      <c r="B828" s="15">
        <v>2025</v>
      </c>
      <c r="C828" s="15" t="s">
        <v>48</v>
      </c>
      <c r="D828" s="15" t="s">
        <v>27</v>
      </c>
      <c r="E828" s="15" t="s">
        <v>31</v>
      </c>
      <c r="F828" s="15" t="s">
        <v>32</v>
      </c>
      <c r="G828" s="15" t="s">
        <v>34</v>
      </c>
      <c r="H828" s="16">
        <v>472</v>
      </c>
      <c r="I828" s="17">
        <v>237.69</v>
      </c>
      <c r="J828" s="18">
        <v>0.14499999999999999</v>
      </c>
      <c r="K828" s="17">
        <v>112189.26</v>
      </c>
      <c r="L828" s="17">
        <v>95921.81</v>
      </c>
      <c r="M828" s="17">
        <v>165.7</v>
      </c>
      <c r="N828" s="17">
        <v>78211.27</v>
      </c>
      <c r="O828" s="17">
        <v>17710.54</v>
      </c>
      <c r="P828" s="18">
        <v>0.18459999999999999</v>
      </c>
      <c r="Q828" s="17">
        <v>919.77</v>
      </c>
      <c r="R828" s="15" t="s">
        <v>40</v>
      </c>
    </row>
    <row r="829" spans="1:18" ht="14.25" customHeight="1" x14ac:dyDescent="0.3">
      <c r="A829" s="14">
        <v>45962</v>
      </c>
      <c r="B829" s="15">
        <v>2025</v>
      </c>
      <c r="C829" s="15" t="s">
        <v>48</v>
      </c>
      <c r="D829" s="15" t="s">
        <v>30</v>
      </c>
      <c r="E829" s="15" t="s">
        <v>20</v>
      </c>
      <c r="F829" s="15" t="s">
        <v>26</v>
      </c>
      <c r="G829" s="15" t="s">
        <v>34</v>
      </c>
      <c r="H829" s="16">
        <v>272</v>
      </c>
      <c r="I829" s="17">
        <v>230.66</v>
      </c>
      <c r="J829" s="18">
        <v>0.11</v>
      </c>
      <c r="K829" s="17">
        <v>62739.87</v>
      </c>
      <c r="L829" s="17">
        <v>55838.49</v>
      </c>
      <c r="M829" s="17">
        <v>165.7</v>
      </c>
      <c r="N829" s="17">
        <v>45070.9</v>
      </c>
      <c r="O829" s="17">
        <v>10767.58</v>
      </c>
      <c r="P829" s="18">
        <v>0.1928</v>
      </c>
      <c r="Q829" s="17">
        <v>1137.05</v>
      </c>
      <c r="R829" s="15" t="s">
        <v>40</v>
      </c>
    </row>
    <row r="830" spans="1:18" ht="14.25" customHeight="1" x14ac:dyDescent="0.3">
      <c r="A830" s="14">
        <v>45962</v>
      </c>
      <c r="B830" s="15">
        <v>2025</v>
      </c>
      <c r="C830" s="15" t="s">
        <v>48</v>
      </c>
      <c r="D830" s="15" t="s">
        <v>19</v>
      </c>
      <c r="E830" s="15" t="s">
        <v>25</v>
      </c>
      <c r="F830" s="15" t="s">
        <v>26</v>
      </c>
      <c r="G830" s="15" t="s">
        <v>35</v>
      </c>
      <c r="H830" s="16">
        <v>1031</v>
      </c>
      <c r="I830" s="17">
        <v>11.65</v>
      </c>
      <c r="J830" s="18">
        <v>0.08</v>
      </c>
      <c r="K830" s="17">
        <v>12007.8</v>
      </c>
      <c r="L830" s="17">
        <v>11047.18</v>
      </c>
      <c r="M830" s="17">
        <v>6.11</v>
      </c>
      <c r="N830" s="17">
        <v>6294.87</v>
      </c>
      <c r="O830" s="17">
        <v>4752.3</v>
      </c>
      <c r="P830" s="18">
        <v>0.43020000000000003</v>
      </c>
      <c r="Q830" s="17">
        <v>498.95</v>
      </c>
      <c r="R830" s="15" t="s">
        <v>40</v>
      </c>
    </row>
    <row r="831" spans="1:18" ht="14.25" customHeight="1" x14ac:dyDescent="0.3">
      <c r="A831" s="14">
        <v>45962</v>
      </c>
      <c r="B831" s="15">
        <v>2025</v>
      </c>
      <c r="C831" s="15" t="s">
        <v>48</v>
      </c>
      <c r="D831" s="15" t="s">
        <v>24</v>
      </c>
      <c r="E831" s="15" t="s">
        <v>31</v>
      </c>
      <c r="F831" s="15" t="s">
        <v>32</v>
      </c>
      <c r="G831" s="15" t="s">
        <v>35</v>
      </c>
      <c r="H831" s="16">
        <v>1643</v>
      </c>
      <c r="I831" s="17">
        <v>11.77</v>
      </c>
      <c r="J831" s="18">
        <v>0.14499999999999999</v>
      </c>
      <c r="K831" s="17">
        <v>19331.54</v>
      </c>
      <c r="L831" s="17">
        <v>16528.46</v>
      </c>
      <c r="M831" s="17">
        <v>6.11</v>
      </c>
      <c r="N831" s="17">
        <v>10031.5</v>
      </c>
      <c r="O831" s="17">
        <v>6496.96</v>
      </c>
      <c r="P831" s="18">
        <v>0.3931</v>
      </c>
      <c r="Q831" s="17">
        <v>420.36</v>
      </c>
      <c r="R831" s="15" t="s">
        <v>40</v>
      </c>
    </row>
    <row r="832" spans="1:18" ht="14.25" customHeight="1" x14ac:dyDescent="0.3">
      <c r="A832" s="14">
        <v>45962</v>
      </c>
      <c r="B832" s="15">
        <v>2025</v>
      </c>
      <c r="C832" s="15" t="s">
        <v>48</v>
      </c>
      <c r="D832" s="15" t="s">
        <v>27</v>
      </c>
      <c r="E832" s="15" t="s">
        <v>20</v>
      </c>
      <c r="F832" s="15" t="s">
        <v>26</v>
      </c>
      <c r="G832" s="15" t="s">
        <v>35</v>
      </c>
      <c r="H832" s="16">
        <v>1618</v>
      </c>
      <c r="I832" s="17">
        <v>11.89</v>
      </c>
      <c r="J832" s="18">
        <v>0.11</v>
      </c>
      <c r="K832" s="17">
        <v>19230.330000000002</v>
      </c>
      <c r="L832" s="17">
        <v>17115</v>
      </c>
      <c r="M832" s="17">
        <v>6.11</v>
      </c>
      <c r="N832" s="17">
        <v>9878.86</v>
      </c>
      <c r="O832" s="17">
        <v>7236.14</v>
      </c>
      <c r="P832" s="18">
        <v>0.42280000000000001</v>
      </c>
      <c r="Q832" s="17">
        <v>669.94</v>
      </c>
      <c r="R832" s="15" t="s">
        <v>40</v>
      </c>
    </row>
    <row r="833" spans="1:18" ht="14.25" customHeight="1" x14ac:dyDescent="0.3">
      <c r="A833" s="14">
        <v>45962</v>
      </c>
      <c r="B833" s="15">
        <v>2025</v>
      </c>
      <c r="C833" s="15" t="s">
        <v>48</v>
      </c>
      <c r="D833" s="15" t="s">
        <v>30</v>
      </c>
      <c r="E833" s="15" t="s">
        <v>25</v>
      </c>
      <c r="F833" s="15" t="s">
        <v>21</v>
      </c>
      <c r="G833" s="15" t="s">
        <v>35</v>
      </c>
      <c r="H833" s="16">
        <v>809</v>
      </c>
      <c r="I833" s="17">
        <v>11.54</v>
      </c>
      <c r="J833" s="18">
        <v>0.08</v>
      </c>
      <c r="K833" s="17">
        <v>9332.18</v>
      </c>
      <c r="L833" s="17">
        <v>8585.6</v>
      </c>
      <c r="M833" s="17">
        <v>6.11</v>
      </c>
      <c r="N833" s="17">
        <v>4939.43</v>
      </c>
      <c r="O833" s="17">
        <v>3646.17</v>
      </c>
      <c r="P833" s="18">
        <v>0.42470000000000002</v>
      </c>
      <c r="Q833" s="17">
        <v>440.07</v>
      </c>
      <c r="R833" s="15" t="s">
        <v>40</v>
      </c>
    </row>
    <row r="834" spans="1:18" ht="14.25" customHeight="1" x14ac:dyDescent="0.3">
      <c r="A834" s="14">
        <v>45962</v>
      </c>
      <c r="B834" s="15">
        <v>2025</v>
      </c>
      <c r="C834" s="15" t="s">
        <v>48</v>
      </c>
      <c r="D834" s="15" t="s">
        <v>19</v>
      </c>
      <c r="E834" s="15" t="s">
        <v>31</v>
      </c>
      <c r="F834" s="15" t="s">
        <v>32</v>
      </c>
      <c r="G834" s="15" t="s">
        <v>36</v>
      </c>
      <c r="H834" s="16">
        <v>473</v>
      </c>
      <c r="I834" s="17">
        <v>70.73</v>
      </c>
      <c r="J834" s="18">
        <v>0.13</v>
      </c>
      <c r="K834" s="17">
        <v>33455.83</v>
      </c>
      <c r="L834" s="17">
        <v>29106.57</v>
      </c>
      <c r="M834" s="17">
        <v>15.7</v>
      </c>
      <c r="N834" s="17">
        <v>7426.69</v>
      </c>
      <c r="O834" s="17">
        <v>21679.88</v>
      </c>
      <c r="P834" s="18">
        <v>0.74480000000000002</v>
      </c>
      <c r="Q834" s="17">
        <v>579.16</v>
      </c>
      <c r="R834" s="15" t="s">
        <v>40</v>
      </c>
    </row>
    <row r="835" spans="1:18" ht="14.25" customHeight="1" x14ac:dyDescent="0.3">
      <c r="A835" s="14">
        <v>45962</v>
      </c>
      <c r="B835" s="15">
        <v>2025</v>
      </c>
      <c r="C835" s="15" t="s">
        <v>48</v>
      </c>
      <c r="D835" s="15" t="s">
        <v>24</v>
      </c>
      <c r="E835" s="15" t="s">
        <v>20</v>
      </c>
      <c r="F835" s="15" t="s">
        <v>26</v>
      </c>
      <c r="G835" s="15" t="s">
        <v>36</v>
      </c>
      <c r="H835" s="16">
        <v>477</v>
      </c>
      <c r="I835" s="17">
        <v>71.45</v>
      </c>
      <c r="J835" s="18">
        <v>9.5000000000000001E-2</v>
      </c>
      <c r="K835" s="17">
        <v>34080.050000000003</v>
      </c>
      <c r="L835" s="17">
        <v>30842.45</v>
      </c>
      <c r="M835" s="17">
        <v>15.7</v>
      </c>
      <c r="N835" s="17">
        <v>7489.5</v>
      </c>
      <c r="O835" s="17">
        <v>23352.95</v>
      </c>
      <c r="P835" s="18">
        <v>0.75719999999999998</v>
      </c>
      <c r="Q835" s="17">
        <v>952.65</v>
      </c>
      <c r="R835" s="15" t="s">
        <v>40</v>
      </c>
    </row>
    <row r="836" spans="1:18" ht="14.25" customHeight="1" x14ac:dyDescent="0.3">
      <c r="A836" s="14">
        <v>45962</v>
      </c>
      <c r="B836" s="15">
        <v>2025</v>
      </c>
      <c r="C836" s="15" t="s">
        <v>48</v>
      </c>
      <c r="D836" s="15" t="s">
        <v>27</v>
      </c>
      <c r="E836" s="15" t="s">
        <v>28</v>
      </c>
      <c r="F836" s="15" t="s">
        <v>29</v>
      </c>
      <c r="G836" s="15" t="s">
        <v>36</v>
      </c>
      <c r="H836" s="16">
        <v>293</v>
      </c>
      <c r="I836" s="17">
        <v>72.150000000000006</v>
      </c>
      <c r="J836" s="18">
        <v>0.05</v>
      </c>
      <c r="K836" s="17">
        <v>21141.18</v>
      </c>
      <c r="L836" s="17">
        <v>20084.12</v>
      </c>
      <c r="M836" s="17">
        <v>15.7</v>
      </c>
      <c r="N836" s="17">
        <v>4600.47</v>
      </c>
      <c r="O836" s="17">
        <v>15483.66</v>
      </c>
      <c r="P836" s="18">
        <v>0.77090000000000003</v>
      </c>
      <c r="Q836" s="17">
        <v>733.13</v>
      </c>
      <c r="R836" s="15" t="s">
        <v>40</v>
      </c>
    </row>
    <row r="837" spans="1:18" ht="14.25" customHeight="1" x14ac:dyDescent="0.3">
      <c r="A837" s="14">
        <v>45962</v>
      </c>
      <c r="B837" s="15">
        <v>2025</v>
      </c>
      <c r="C837" s="15" t="s">
        <v>48</v>
      </c>
      <c r="D837" s="15" t="s">
        <v>30</v>
      </c>
      <c r="E837" s="15" t="s">
        <v>31</v>
      </c>
      <c r="F837" s="15" t="s">
        <v>32</v>
      </c>
      <c r="G837" s="15" t="s">
        <v>36</v>
      </c>
      <c r="H837" s="16">
        <v>366</v>
      </c>
      <c r="I837" s="17">
        <v>70.02</v>
      </c>
      <c r="J837" s="18">
        <v>0.13</v>
      </c>
      <c r="K837" s="17">
        <v>25628.639999999999</v>
      </c>
      <c r="L837" s="17">
        <v>22296.91</v>
      </c>
      <c r="M837" s="17">
        <v>15.7</v>
      </c>
      <c r="N837" s="17">
        <v>5746.66</v>
      </c>
      <c r="O837" s="17">
        <v>16550.25</v>
      </c>
      <c r="P837" s="18">
        <v>0.74229999999999996</v>
      </c>
      <c r="Q837" s="17">
        <v>509.66</v>
      </c>
      <c r="R837" s="15" t="s">
        <v>40</v>
      </c>
    </row>
    <row r="838" spans="1:18" ht="14.25" customHeight="1" x14ac:dyDescent="0.3">
      <c r="A838" s="14">
        <v>45962</v>
      </c>
      <c r="B838" s="15">
        <v>2025</v>
      </c>
      <c r="C838" s="15" t="s">
        <v>48</v>
      </c>
      <c r="D838" s="15" t="s">
        <v>19</v>
      </c>
      <c r="E838" s="15" t="s">
        <v>20</v>
      </c>
      <c r="F838" s="15" t="s">
        <v>26</v>
      </c>
      <c r="G838" s="15" t="s">
        <v>37</v>
      </c>
      <c r="H838" s="16">
        <v>348</v>
      </c>
      <c r="I838" s="17">
        <v>54.09</v>
      </c>
      <c r="J838" s="18">
        <v>9.5000000000000001E-2</v>
      </c>
      <c r="K838" s="17">
        <v>18823.95</v>
      </c>
      <c r="L838" s="17">
        <v>17035.669999999998</v>
      </c>
      <c r="M838" s="17">
        <v>7.85</v>
      </c>
      <c r="N838" s="17">
        <v>2730.63</v>
      </c>
      <c r="O838" s="17">
        <v>14305.04</v>
      </c>
      <c r="P838" s="18">
        <v>0.8397</v>
      </c>
      <c r="Q838" s="17">
        <v>555.59</v>
      </c>
      <c r="R838" s="15" t="s">
        <v>40</v>
      </c>
    </row>
    <row r="839" spans="1:18" ht="14.25" customHeight="1" x14ac:dyDescent="0.3">
      <c r="A839" s="14">
        <v>45962</v>
      </c>
      <c r="B839" s="15">
        <v>2025</v>
      </c>
      <c r="C839" s="15" t="s">
        <v>48</v>
      </c>
      <c r="D839" s="15" t="s">
        <v>24</v>
      </c>
      <c r="E839" s="15" t="s">
        <v>25</v>
      </c>
      <c r="F839" s="15" t="s">
        <v>21</v>
      </c>
      <c r="G839" s="15" t="s">
        <v>37</v>
      </c>
      <c r="H839" s="16">
        <v>299</v>
      </c>
      <c r="I839" s="17">
        <v>54.63</v>
      </c>
      <c r="J839" s="18">
        <v>6.5000000000000002E-2</v>
      </c>
      <c r="K839" s="17">
        <v>16335.09</v>
      </c>
      <c r="L839" s="17">
        <v>15273.31</v>
      </c>
      <c r="M839" s="17">
        <v>7.85</v>
      </c>
      <c r="N839" s="17">
        <v>2346.15</v>
      </c>
      <c r="O839" s="17">
        <v>12927.16</v>
      </c>
      <c r="P839" s="18">
        <v>0.84640000000000004</v>
      </c>
      <c r="Q839" s="17">
        <v>494.03</v>
      </c>
      <c r="R839" s="15" t="s">
        <v>40</v>
      </c>
    </row>
    <row r="840" spans="1:18" ht="14.25" customHeight="1" x14ac:dyDescent="0.3">
      <c r="A840" s="14">
        <v>45962</v>
      </c>
      <c r="B840" s="15">
        <v>2025</v>
      </c>
      <c r="C840" s="15" t="s">
        <v>48</v>
      </c>
      <c r="D840" s="15" t="s">
        <v>27</v>
      </c>
      <c r="E840" s="15" t="s">
        <v>28</v>
      </c>
      <c r="F840" s="15" t="s">
        <v>32</v>
      </c>
      <c r="G840" s="15" t="s">
        <v>37</v>
      </c>
      <c r="H840" s="16">
        <v>233</v>
      </c>
      <c r="I840" s="17">
        <v>55.18</v>
      </c>
      <c r="J840" s="18">
        <v>0.05</v>
      </c>
      <c r="K840" s="17">
        <v>12857.16</v>
      </c>
      <c r="L840" s="17">
        <v>12214.3</v>
      </c>
      <c r="M840" s="17">
        <v>7.85</v>
      </c>
      <c r="N840" s="17">
        <v>1828.27</v>
      </c>
      <c r="O840" s="17">
        <v>10386.030000000001</v>
      </c>
      <c r="P840" s="18">
        <v>0.85029999999999994</v>
      </c>
      <c r="Q840" s="17">
        <v>428.24</v>
      </c>
      <c r="R840" s="15" t="s">
        <v>40</v>
      </c>
    </row>
    <row r="841" spans="1:18" ht="14.25" customHeight="1" x14ac:dyDescent="0.3">
      <c r="A841" s="14">
        <v>45962</v>
      </c>
      <c r="B841" s="15">
        <v>2025</v>
      </c>
      <c r="C841" s="15" t="s">
        <v>48</v>
      </c>
      <c r="D841" s="15" t="s">
        <v>30</v>
      </c>
      <c r="E841" s="15" t="s">
        <v>20</v>
      </c>
      <c r="F841" s="15" t="s">
        <v>21</v>
      </c>
      <c r="G841" s="15" t="s">
        <v>37</v>
      </c>
      <c r="H841" s="16">
        <v>266</v>
      </c>
      <c r="I841" s="17">
        <v>53.54</v>
      </c>
      <c r="J841" s="18">
        <v>9.5000000000000001E-2</v>
      </c>
      <c r="K841" s="17">
        <v>14242.5</v>
      </c>
      <c r="L841" s="17">
        <v>12889.47</v>
      </c>
      <c r="M841" s="17">
        <v>7.85</v>
      </c>
      <c r="N841" s="17">
        <v>2087.21</v>
      </c>
      <c r="O841" s="17">
        <v>10802.26</v>
      </c>
      <c r="P841" s="18">
        <v>0.83809999999999996</v>
      </c>
      <c r="Q841" s="17">
        <v>462.47</v>
      </c>
      <c r="R841" s="15" t="s">
        <v>40</v>
      </c>
    </row>
    <row r="842" spans="1:18" ht="14.25" customHeight="1" x14ac:dyDescent="0.3">
      <c r="A842" s="14">
        <v>45992</v>
      </c>
      <c r="B842" s="15">
        <v>2025</v>
      </c>
      <c r="C842" s="15" t="s">
        <v>49</v>
      </c>
      <c r="D842" s="15" t="s">
        <v>19</v>
      </c>
      <c r="E842" s="15" t="s">
        <v>31</v>
      </c>
      <c r="F842" s="15" t="s">
        <v>32</v>
      </c>
      <c r="G842" s="15" t="s">
        <v>22</v>
      </c>
      <c r="H842" s="16">
        <v>272</v>
      </c>
      <c r="I842" s="17">
        <v>515.94000000000005</v>
      </c>
      <c r="J842" s="18">
        <v>0.14499999999999999</v>
      </c>
      <c r="K842" s="17">
        <v>140335.44</v>
      </c>
      <c r="L842" s="17">
        <v>119986.8</v>
      </c>
      <c r="M842" s="17">
        <v>405.53</v>
      </c>
      <c r="N842" s="17">
        <v>110304.02</v>
      </c>
      <c r="O842" s="17">
        <v>9682.77</v>
      </c>
      <c r="P842" s="18">
        <v>8.0699999999999994E-2</v>
      </c>
      <c r="Q842" s="17">
        <v>1191.8499999999999</v>
      </c>
      <c r="R842" s="15" t="s">
        <v>40</v>
      </c>
    </row>
    <row r="843" spans="1:18" ht="14.25" customHeight="1" x14ac:dyDescent="0.3">
      <c r="A843" s="14">
        <v>45992</v>
      </c>
      <c r="B843" s="15">
        <v>2025</v>
      </c>
      <c r="C843" s="15" t="s">
        <v>49</v>
      </c>
      <c r="D843" s="15" t="s">
        <v>24</v>
      </c>
      <c r="E843" s="15" t="s">
        <v>20</v>
      </c>
      <c r="F843" s="15" t="s">
        <v>21</v>
      </c>
      <c r="G843" s="15" t="s">
        <v>22</v>
      </c>
      <c r="H843" s="16">
        <v>242</v>
      </c>
      <c r="I843" s="17">
        <v>521.12</v>
      </c>
      <c r="J843" s="18">
        <v>0.11</v>
      </c>
      <c r="K843" s="17">
        <v>126111.65</v>
      </c>
      <c r="L843" s="17">
        <v>112239.36</v>
      </c>
      <c r="M843" s="17">
        <v>405.53</v>
      </c>
      <c r="N843" s="17">
        <v>98138.14</v>
      </c>
      <c r="O843" s="17">
        <v>14101.23</v>
      </c>
      <c r="P843" s="18">
        <v>0.12559999999999999</v>
      </c>
      <c r="Q843" s="17">
        <v>2060.84</v>
      </c>
      <c r="R843" s="15" t="s">
        <v>40</v>
      </c>
    </row>
    <row r="844" spans="1:18" ht="14.25" customHeight="1" x14ac:dyDescent="0.3">
      <c r="A844" s="14">
        <v>45992</v>
      </c>
      <c r="B844" s="15">
        <v>2025</v>
      </c>
      <c r="C844" s="15" t="s">
        <v>49</v>
      </c>
      <c r="D844" s="15" t="s">
        <v>27</v>
      </c>
      <c r="E844" s="15" t="s">
        <v>25</v>
      </c>
      <c r="F844" s="15" t="s">
        <v>26</v>
      </c>
      <c r="G844" s="15" t="s">
        <v>22</v>
      </c>
      <c r="H844" s="16">
        <v>226</v>
      </c>
      <c r="I844" s="17">
        <v>526.30999999999995</v>
      </c>
      <c r="J844" s="18">
        <v>0.08</v>
      </c>
      <c r="K844" s="17">
        <v>118945.13</v>
      </c>
      <c r="L844" s="17">
        <v>109429.52</v>
      </c>
      <c r="M844" s="17">
        <v>405.53</v>
      </c>
      <c r="N844" s="17">
        <v>91649.67</v>
      </c>
      <c r="O844" s="17">
        <v>17779.86</v>
      </c>
      <c r="P844" s="18">
        <v>0.16250000000000001</v>
      </c>
      <c r="Q844" s="17">
        <v>1689.8</v>
      </c>
      <c r="R844" s="15" t="s">
        <v>40</v>
      </c>
    </row>
    <row r="845" spans="1:18" ht="14.25" customHeight="1" x14ac:dyDescent="0.3">
      <c r="A845" s="14">
        <v>45992</v>
      </c>
      <c r="B845" s="15">
        <v>2025</v>
      </c>
      <c r="C845" s="15" t="s">
        <v>49</v>
      </c>
      <c r="D845" s="15" t="s">
        <v>30</v>
      </c>
      <c r="E845" s="15" t="s">
        <v>28</v>
      </c>
      <c r="F845" s="15" t="s">
        <v>29</v>
      </c>
      <c r="G845" s="15" t="s">
        <v>22</v>
      </c>
      <c r="H845" s="16">
        <v>116</v>
      </c>
      <c r="I845" s="17">
        <v>510.76</v>
      </c>
      <c r="J845" s="18">
        <v>6.5000000000000002E-2</v>
      </c>
      <c r="K845" s="17">
        <v>59247.66</v>
      </c>
      <c r="L845" s="17">
        <v>55396.56</v>
      </c>
      <c r="M845" s="17">
        <v>405.53</v>
      </c>
      <c r="N845" s="17">
        <v>47041.42</v>
      </c>
      <c r="O845" s="17">
        <v>8355.14</v>
      </c>
      <c r="P845" s="18">
        <v>0.15079999999999999</v>
      </c>
      <c r="Q845" s="17">
        <v>1154.17</v>
      </c>
      <c r="R845" s="15" t="s">
        <v>40</v>
      </c>
    </row>
    <row r="846" spans="1:18" ht="14.25" customHeight="1" x14ac:dyDescent="0.3">
      <c r="A846" s="14">
        <v>45992</v>
      </c>
      <c r="B846" s="15">
        <v>2025</v>
      </c>
      <c r="C846" s="15" t="s">
        <v>49</v>
      </c>
      <c r="D846" s="15" t="s">
        <v>19</v>
      </c>
      <c r="E846" s="15" t="s">
        <v>20</v>
      </c>
      <c r="F846" s="15" t="s">
        <v>21</v>
      </c>
      <c r="G846" s="15" t="s">
        <v>33</v>
      </c>
      <c r="H846" s="16">
        <v>151</v>
      </c>
      <c r="I846" s="17">
        <v>732.3</v>
      </c>
      <c r="J846" s="18">
        <v>0.11</v>
      </c>
      <c r="K846" s="17">
        <v>110577.05</v>
      </c>
      <c r="L846" s="17">
        <v>98413.57</v>
      </c>
      <c r="M846" s="17">
        <v>601.76</v>
      </c>
      <c r="N846" s="17">
        <v>90865.66</v>
      </c>
      <c r="O846" s="17">
        <v>7547.91</v>
      </c>
      <c r="P846" s="18">
        <v>7.6700000000000004E-2</v>
      </c>
      <c r="Q846" s="17">
        <v>1812.69</v>
      </c>
      <c r="R846" s="15" t="s">
        <v>40</v>
      </c>
    </row>
    <row r="847" spans="1:18" ht="14.25" customHeight="1" x14ac:dyDescent="0.3">
      <c r="A847" s="14">
        <v>45992</v>
      </c>
      <c r="B847" s="15">
        <v>2025</v>
      </c>
      <c r="C847" s="15" t="s">
        <v>49</v>
      </c>
      <c r="D847" s="15" t="s">
        <v>24</v>
      </c>
      <c r="E847" s="15" t="s">
        <v>25</v>
      </c>
      <c r="F847" s="15" t="s">
        <v>26</v>
      </c>
      <c r="G847" s="15" t="s">
        <v>33</v>
      </c>
      <c r="H847" s="16">
        <v>138</v>
      </c>
      <c r="I847" s="17">
        <v>739.66</v>
      </c>
      <c r="J847" s="18">
        <v>0.08</v>
      </c>
      <c r="K847" s="17">
        <v>102073.09</v>
      </c>
      <c r="L847" s="17">
        <v>93907.24</v>
      </c>
      <c r="M847" s="17">
        <v>601.76</v>
      </c>
      <c r="N847" s="17">
        <v>83042.789999999994</v>
      </c>
      <c r="O847" s="17">
        <v>10864.45</v>
      </c>
      <c r="P847" s="18">
        <v>0.1157</v>
      </c>
      <c r="Q847" s="17">
        <v>1714.99</v>
      </c>
      <c r="R847" s="15" t="s">
        <v>40</v>
      </c>
    </row>
    <row r="848" spans="1:18" ht="14.25" customHeight="1" x14ac:dyDescent="0.3">
      <c r="A848" s="14">
        <v>45992</v>
      </c>
      <c r="B848" s="15">
        <v>2025</v>
      </c>
      <c r="C848" s="15" t="s">
        <v>49</v>
      </c>
      <c r="D848" s="15" t="s">
        <v>27</v>
      </c>
      <c r="E848" s="15" t="s">
        <v>28</v>
      </c>
      <c r="F848" s="15" t="s">
        <v>29</v>
      </c>
      <c r="G848" s="15" t="s">
        <v>33</v>
      </c>
      <c r="H848" s="16">
        <v>104</v>
      </c>
      <c r="I848" s="17">
        <v>747.02</v>
      </c>
      <c r="J848" s="18">
        <v>6.5000000000000002E-2</v>
      </c>
      <c r="K848" s="17">
        <v>77690.259999999995</v>
      </c>
      <c r="L848" s="17">
        <v>72640.399999999994</v>
      </c>
      <c r="M848" s="17">
        <v>601.76</v>
      </c>
      <c r="N848" s="17">
        <v>62582.97</v>
      </c>
      <c r="O848" s="17">
        <v>10057.43</v>
      </c>
      <c r="P848" s="18">
        <v>0.13850000000000001</v>
      </c>
      <c r="Q848" s="17">
        <v>1482.6</v>
      </c>
      <c r="R848" s="15" t="s">
        <v>40</v>
      </c>
    </row>
    <row r="849" spans="1:18" ht="14.25" customHeight="1" x14ac:dyDescent="0.3">
      <c r="A849" s="14">
        <v>45992</v>
      </c>
      <c r="B849" s="15">
        <v>2025</v>
      </c>
      <c r="C849" s="15" t="s">
        <v>49</v>
      </c>
      <c r="D849" s="15" t="s">
        <v>30</v>
      </c>
      <c r="E849" s="15" t="s">
        <v>31</v>
      </c>
      <c r="F849" s="15" t="s">
        <v>32</v>
      </c>
      <c r="G849" s="15" t="s">
        <v>33</v>
      </c>
      <c r="H849" s="16">
        <v>136</v>
      </c>
      <c r="I849" s="17">
        <v>724.94</v>
      </c>
      <c r="J849" s="18">
        <v>0.14499999999999999</v>
      </c>
      <c r="K849" s="17">
        <v>98591.38</v>
      </c>
      <c r="L849" s="17">
        <v>84295.63</v>
      </c>
      <c r="M849" s="17">
        <v>601.76</v>
      </c>
      <c r="N849" s="17">
        <v>81839.27</v>
      </c>
      <c r="O849" s="17">
        <v>2456.36</v>
      </c>
      <c r="P849" s="18">
        <v>2.9100000000000001E-2</v>
      </c>
      <c r="Q849" s="17">
        <v>989.74</v>
      </c>
      <c r="R849" s="15" t="s">
        <v>40</v>
      </c>
    </row>
    <row r="850" spans="1:18" ht="14.25" customHeight="1" x14ac:dyDescent="0.3">
      <c r="A850" s="14">
        <v>45992</v>
      </c>
      <c r="B850" s="15">
        <v>2025</v>
      </c>
      <c r="C850" s="15" t="s">
        <v>49</v>
      </c>
      <c r="D850" s="15" t="s">
        <v>19</v>
      </c>
      <c r="E850" s="15" t="s">
        <v>25</v>
      </c>
      <c r="F850" s="15" t="s">
        <v>26</v>
      </c>
      <c r="G850" s="15" t="s">
        <v>34</v>
      </c>
      <c r="H850" s="16">
        <v>243</v>
      </c>
      <c r="I850" s="17">
        <v>233.01</v>
      </c>
      <c r="J850" s="18">
        <v>0.08</v>
      </c>
      <c r="K850" s="17">
        <v>56620.59</v>
      </c>
      <c r="L850" s="17">
        <v>52090.94</v>
      </c>
      <c r="M850" s="17">
        <v>165.7</v>
      </c>
      <c r="N850" s="17">
        <v>40265.550000000003</v>
      </c>
      <c r="O850" s="17">
        <v>11825.39</v>
      </c>
      <c r="P850" s="18">
        <v>0.22700000000000001</v>
      </c>
      <c r="Q850" s="17">
        <v>1080.48</v>
      </c>
      <c r="R850" s="15" t="s">
        <v>40</v>
      </c>
    </row>
    <row r="851" spans="1:18" ht="14.25" customHeight="1" x14ac:dyDescent="0.3">
      <c r="A851" s="14">
        <v>45992</v>
      </c>
      <c r="B851" s="15">
        <v>2025</v>
      </c>
      <c r="C851" s="15" t="s">
        <v>49</v>
      </c>
      <c r="D851" s="15" t="s">
        <v>24</v>
      </c>
      <c r="E851" s="15" t="s">
        <v>31</v>
      </c>
      <c r="F851" s="15" t="s">
        <v>32</v>
      </c>
      <c r="G851" s="15" t="s">
        <v>34</v>
      </c>
      <c r="H851" s="16">
        <v>406</v>
      </c>
      <c r="I851" s="17">
        <v>235.34</v>
      </c>
      <c r="J851" s="18">
        <v>0.14499999999999999</v>
      </c>
      <c r="K851" s="17">
        <v>95549.6</v>
      </c>
      <c r="L851" s="17">
        <v>81694.91</v>
      </c>
      <c r="M851" s="17">
        <v>165.7</v>
      </c>
      <c r="N851" s="17">
        <v>67274.95</v>
      </c>
      <c r="O851" s="17">
        <v>14419.96</v>
      </c>
      <c r="P851" s="18">
        <v>0.17649999999999999</v>
      </c>
      <c r="Q851" s="17">
        <v>883.99</v>
      </c>
      <c r="R851" s="15" t="s">
        <v>40</v>
      </c>
    </row>
    <row r="852" spans="1:18" ht="14.25" customHeight="1" x14ac:dyDescent="0.3">
      <c r="A852" s="14">
        <v>45992</v>
      </c>
      <c r="B852" s="15">
        <v>2025</v>
      </c>
      <c r="C852" s="15" t="s">
        <v>49</v>
      </c>
      <c r="D852" s="15" t="s">
        <v>27</v>
      </c>
      <c r="E852" s="15" t="s">
        <v>20</v>
      </c>
      <c r="F852" s="15" t="s">
        <v>26</v>
      </c>
      <c r="G852" s="15" t="s">
        <v>34</v>
      </c>
      <c r="H852" s="16">
        <v>374</v>
      </c>
      <c r="I852" s="17">
        <v>237.69</v>
      </c>
      <c r="J852" s="18">
        <v>0.11</v>
      </c>
      <c r="K852" s="17">
        <v>88895.72</v>
      </c>
      <c r="L852" s="17">
        <v>79117.19</v>
      </c>
      <c r="M852" s="17">
        <v>165.7</v>
      </c>
      <c r="N852" s="17">
        <v>61972.49</v>
      </c>
      <c r="O852" s="17">
        <v>17144.7</v>
      </c>
      <c r="P852" s="18">
        <v>0.2167</v>
      </c>
      <c r="Q852" s="17">
        <v>1449.09</v>
      </c>
      <c r="R852" s="15" t="s">
        <v>40</v>
      </c>
    </row>
    <row r="853" spans="1:18" ht="14.25" customHeight="1" x14ac:dyDescent="0.3">
      <c r="A853" s="14">
        <v>45992</v>
      </c>
      <c r="B853" s="15">
        <v>2025</v>
      </c>
      <c r="C853" s="15" t="s">
        <v>49</v>
      </c>
      <c r="D853" s="15" t="s">
        <v>30</v>
      </c>
      <c r="E853" s="15" t="s">
        <v>25</v>
      </c>
      <c r="F853" s="15" t="s">
        <v>21</v>
      </c>
      <c r="G853" s="15" t="s">
        <v>34</v>
      </c>
      <c r="H853" s="16">
        <v>195</v>
      </c>
      <c r="I853" s="17">
        <v>230.66</v>
      </c>
      <c r="J853" s="18">
        <v>0.08</v>
      </c>
      <c r="K853" s="17">
        <v>44978.95</v>
      </c>
      <c r="L853" s="17">
        <v>41380.639999999999</v>
      </c>
      <c r="M853" s="17">
        <v>165.7</v>
      </c>
      <c r="N853" s="17">
        <v>32311.86</v>
      </c>
      <c r="O853" s="17">
        <v>9068.7800000000007</v>
      </c>
      <c r="P853" s="18">
        <v>0.21920000000000001</v>
      </c>
      <c r="Q853" s="17">
        <v>972.41</v>
      </c>
      <c r="R853" s="15" t="s">
        <v>40</v>
      </c>
    </row>
    <row r="854" spans="1:18" ht="14.25" customHeight="1" x14ac:dyDescent="0.3">
      <c r="A854" s="14">
        <v>45992</v>
      </c>
      <c r="B854" s="15">
        <v>2025</v>
      </c>
      <c r="C854" s="15" t="s">
        <v>49</v>
      </c>
      <c r="D854" s="15" t="s">
        <v>19</v>
      </c>
      <c r="E854" s="15" t="s">
        <v>31</v>
      </c>
      <c r="F854" s="15" t="s">
        <v>32</v>
      </c>
      <c r="G854" s="15" t="s">
        <v>35</v>
      </c>
      <c r="H854" s="16">
        <v>1245</v>
      </c>
      <c r="I854" s="17">
        <v>11.65</v>
      </c>
      <c r="J854" s="18">
        <v>0.14499999999999999</v>
      </c>
      <c r="K854" s="17">
        <v>14500.2</v>
      </c>
      <c r="L854" s="17">
        <v>12397.68</v>
      </c>
      <c r="M854" s="17">
        <v>6.11</v>
      </c>
      <c r="N854" s="17">
        <v>7601.47</v>
      </c>
      <c r="O854" s="17">
        <v>4796.2</v>
      </c>
      <c r="P854" s="18">
        <v>0.38690000000000002</v>
      </c>
      <c r="Q854" s="17">
        <v>404.32</v>
      </c>
      <c r="R854" s="15" t="s">
        <v>40</v>
      </c>
    </row>
    <row r="855" spans="1:18" ht="14.25" customHeight="1" x14ac:dyDescent="0.3">
      <c r="A855" s="14">
        <v>45992</v>
      </c>
      <c r="B855" s="15">
        <v>2025</v>
      </c>
      <c r="C855" s="15" t="s">
        <v>49</v>
      </c>
      <c r="D855" s="15" t="s">
        <v>24</v>
      </c>
      <c r="E855" s="15" t="s">
        <v>20</v>
      </c>
      <c r="F855" s="15" t="s">
        <v>26</v>
      </c>
      <c r="G855" s="15" t="s">
        <v>35</v>
      </c>
      <c r="H855" s="16">
        <v>1219</v>
      </c>
      <c r="I855" s="17">
        <v>11.77</v>
      </c>
      <c r="J855" s="18">
        <v>0.11</v>
      </c>
      <c r="K855" s="17">
        <v>14342.75</v>
      </c>
      <c r="L855" s="17">
        <v>12765.05</v>
      </c>
      <c r="M855" s="17">
        <v>6.11</v>
      </c>
      <c r="N855" s="17">
        <v>7442.73</v>
      </c>
      <c r="O855" s="17">
        <v>5322.33</v>
      </c>
      <c r="P855" s="18">
        <v>0.41689999999999999</v>
      </c>
      <c r="Q855" s="17">
        <v>650.46</v>
      </c>
      <c r="R855" s="15" t="s">
        <v>40</v>
      </c>
    </row>
    <row r="856" spans="1:18" ht="14.25" customHeight="1" x14ac:dyDescent="0.3">
      <c r="A856" s="14">
        <v>45992</v>
      </c>
      <c r="B856" s="15">
        <v>2025</v>
      </c>
      <c r="C856" s="15" t="s">
        <v>49</v>
      </c>
      <c r="D856" s="15" t="s">
        <v>27</v>
      </c>
      <c r="E856" s="15" t="s">
        <v>25</v>
      </c>
      <c r="F856" s="15" t="s">
        <v>21</v>
      </c>
      <c r="G856" s="15" t="s">
        <v>35</v>
      </c>
      <c r="H856" s="16">
        <v>1035</v>
      </c>
      <c r="I856" s="17">
        <v>11.89</v>
      </c>
      <c r="J856" s="18">
        <v>0.08</v>
      </c>
      <c r="K856" s="17">
        <v>12301.23</v>
      </c>
      <c r="L856" s="17">
        <v>11317.14</v>
      </c>
      <c r="M856" s="17">
        <v>6.11</v>
      </c>
      <c r="N856" s="17">
        <v>6319.3</v>
      </c>
      <c r="O856" s="17">
        <v>4997.84</v>
      </c>
      <c r="P856" s="18">
        <v>0.44159999999999999</v>
      </c>
      <c r="Q856" s="17">
        <v>596.24</v>
      </c>
      <c r="R856" s="15" t="s">
        <v>40</v>
      </c>
    </row>
    <row r="857" spans="1:18" ht="14.25" customHeight="1" x14ac:dyDescent="0.3">
      <c r="A857" s="14">
        <v>45992</v>
      </c>
      <c r="B857" s="15">
        <v>2025</v>
      </c>
      <c r="C857" s="15" t="s">
        <v>49</v>
      </c>
      <c r="D857" s="15" t="s">
        <v>30</v>
      </c>
      <c r="E857" s="15" t="s">
        <v>31</v>
      </c>
      <c r="F857" s="15" t="s">
        <v>32</v>
      </c>
      <c r="G857" s="15" t="s">
        <v>35</v>
      </c>
      <c r="H857" s="16">
        <v>1017</v>
      </c>
      <c r="I857" s="17">
        <v>11.54</v>
      </c>
      <c r="J857" s="18">
        <v>0.14499999999999999</v>
      </c>
      <c r="K857" s="17">
        <v>11731.55</v>
      </c>
      <c r="L857" s="17">
        <v>10030.48</v>
      </c>
      <c r="M857" s="17">
        <v>6.11</v>
      </c>
      <c r="N857" s="17">
        <v>6209.4</v>
      </c>
      <c r="O857" s="17">
        <v>3821.08</v>
      </c>
      <c r="P857" s="18">
        <v>0.38090000000000002</v>
      </c>
      <c r="Q857" s="17">
        <v>348.08</v>
      </c>
      <c r="R857" s="15" t="s">
        <v>40</v>
      </c>
    </row>
    <row r="858" spans="1:18" ht="14.25" customHeight="1" x14ac:dyDescent="0.3">
      <c r="A858" s="14">
        <v>45992</v>
      </c>
      <c r="B858" s="15">
        <v>2025</v>
      </c>
      <c r="C858" s="15" t="s">
        <v>49</v>
      </c>
      <c r="D858" s="15" t="s">
        <v>19</v>
      </c>
      <c r="E858" s="15" t="s">
        <v>20</v>
      </c>
      <c r="F858" s="15" t="s">
        <v>26</v>
      </c>
      <c r="G858" s="15" t="s">
        <v>36</v>
      </c>
      <c r="H858" s="16">
        <v>398</v>
      </c>
      <c r="I858" s="17">
        <v>70.73</v>
      </c>
      <c r="J858" s="18">
        <v>9.5000000000000001E-2</v>
      </c>
      <c r="K858" s="17">
        <v>28151</v>
      </c>
      <c r="L858" s="17">
        <v>25476.65</v>
      </c>
      <c r="M858" s="17">
        <v>15.7</v>
      </c>
      <c r="N858" s="17">
        <v>6249.1</v>
      </c>
      <c r="O858" s="17">
        <v>19227.55</v>
      </c>
      <c r="P858" s="18">
        <v>0.75470000000000004</v>
      </c>
      <c r="Q858" s="17">
        <v>906.49</v>
      </c>
      <c r="R858" s="15" t="s">
        <v>40</v>
      </c>
    </row>
    <row r="859" spans="1:18" ht="14.25" customHeight="1" x14ac:dyDescent="0.3">
      <c r="A859" s="14">
        <v>45992</v>
      </c>
      <c r="B859" s="15">
        <v>2025</v>
      </c>
      <c r="C859" s="15" t="s">
        <v>49</v>
      </c>
      <c r="D859" s="15" t="s">
        <v>24</v>
      </c>
      <c r="E859" s="15" t="s">
        <v>28</v>
      </c>
      <c r="F859" s="15" t="s">
        <v>29</v>
      </c>
      <c r="G859" s="15" t="s">
        <v>36</v>
      </c>
      <c r="H859" s="16">
        <v>272</v>
      </c>
      <c r="I859" s="17">
        <v>71.45</v>
      </c>
      <c r="J859" s="18">
        <v>0.05</v>
      </c>
      <c r="K859" s="17">
        <v>19433.490000000002</v>
      </c>
      <c r="L859" s="17">
        <v>18461.82</v>
      </c>
      <c r="M859" s="17">
        <v>15.7</v>
      </c>
      <c r="N859" s="17">
        <v>4270.74</v>
      </c>
      <c r="O859" s="17">
        <v>14191.08</v>
      </c>
      <c r="P859" s="18">
        <v>0.76870000000000005</v>
      </c>
      <c r="Q859" s="17">
        <v>697.41</v>
      </c>
      <c r="R859" s="15" t="s">
        <v>40</v>
      </c>
    </row>
    <row r="860" spans="1:18" ht="14.25" customHeight="1" x14ac:dyDescent="0.3">
      <c r="A860" s="14">
        <v>45992</v>
      </c>
      <c r="B860" s="15">
        <v>2025</v>
      </c>
      <c r="C860" s="15" t="s">
        <v>49</v>
      </c>
      <c r="D860" s="15" t="s">
        <v>27</v>
      </c>
      <c r="E860" s="15" t="s">
        <v>31</v>
      </c>
      <c r="F860" s="15" t="s">
        <v>32</v>
      </c>
      <c r="G860" s="15" t="s">
        <v>36</v>
      </c>
      <c r="H860" s="16">
        <v>612</v>
      </c>
      <c r="I860" s="17">
        <v>72.150000000000006</v>
      </c>
      <c r="J860" s="18">
        <v>0.13</v>
      </c>
      <c r="K860" s="17">
        <v>44158.37</v>
      </c>
      <c r="L860" s="17">
        <v>38417.78</v>
      </c>
      <c r="M860" s="17">
        <v>15.7</v>
      </c>
      <c r="N860" s="17">
        <v>9609.17</v>
      </c>
      <c r="O860" s="17">
        <v>28808.61</v>
      </c>
      <c r="P860" s="18">
        <v>0.74990000000000001</v>
      </c>
      <c r="Q860" s="17">
        <v>633.62</v>
      </c>
      <c r="R860" s="15" t="s">
        <v>40</v>
      </c>
    </row>
    <row r="861" spans="1:18" ht="14.25" customHeight="1" x14ac:dyDescent="0.3">
      <c r="A861" s="14">
        <v>45992</v>
      </c>
      <c r="B861" s="15">
        <v>2025</v>
      </c>
      <c r="C861" s="15" t="s">
        <v>49</v>
      </c>
      <c r="D861" s="15" t="s">
        <v>30</v>
      </c>
      <c r="E861" s="15" t="s">
        <v>20</v>
      </c>
      <c r="F861" s="15" t="s">
        <v>21</v>
      </c>
      <c r="G861" s="15" t="s">
        <v>36</v>
      </c>
      <c r="H861" s="16">
        <v>330</v>
      </c>
      <c r="I861" s="17">
        <v>70.02</v>
      </c>
      <c r="J861" s="18">
        <v>9.5000000000000001E-2</v>
      </c>
      <c r="K861" s="17">
        <v>23107.79</v>
      </c>
      <c r="L861" s="17">
        <v>20912.55</v>
      </c>
      <c r="M861" s="17">
        <v>15.7</v>
      </c>
      <c r="N861" s="17">
        <v>5181.41</v>
      </c>
      <c r="O861" s="17">
        <v>15731.13</v>
      </c>
      <c r="P861" s="18">
        <v>0.75219999999999998</v>
      </c>
      <c r="Q861" s="17">
        <v>792.08</v>
      </c>
      <c r="R861" s="15" t="s">
        <v>40</v>
      </c>
    </row>
    <row r="862" spans="1:18" ht="14.25" customHeight="1" x14ac:dyDescent="0.3">
      <c r="A862" s="14">
        <v>45992</v>
      </c>
      <c r="B862" s="15">
        <v>2025</v>
      </c>
      <c r="C862" s="15" t="s">
        <v>49</v>
      </c>
      <c r="D862" s="15" t="s">
        <v>19</v>
      </c>
      <c r="E862" s="15" t="s">
        <v>25</v>
      </c>
      <c r="F862" s="15" t="s">
        <v>21</v>
      </c>
      <c r="G862" s="15" t="s">
        <v>37</v>
      </c>
      <c r="H862" s="16">
        <v>270</v>
      </c>
      <c r="I862" s="17">
        <v>54.09</v>
      </c>
      <c r="J862" s="18">
        <v>6.5000000000000002E-2</v>
      </c>
      <c r="K862" s="17">
        <v>14604.79</v>
      </c>
      <c r="L862" s="17">
        <v>13655.48</v>
      </c>
      <c r="M862" s="17">
        <v>7.85</v>
      </c>
      <c r="N862" s="17">
        <v>2118.6</v>
      </c>
      <c r="O862" s="17">
        <v>11536.88</v>
      </c>
      <c r="P862" s="18">
        <v>0.84489999999999998</v>
      </c>
      <c r="Q862" s="17">
        <v>443.64</v>
      </c>
      <c r="R862" s="15" t="s">
        <v>40</v>
      </c>
    </row>
    <row r="863" spans="1:18" ht="14.25" customHeight="1" x14ac:dyDescent="0.3">
      <c r="A863" s="14">
        <v>45992</v>
      </c>
      <c r="B863" s="15">
        <v>2025</v>
      </c>
      <c r="C863" s="15" t="s">
        <v>49</v>
      </c>
      <c r="D863" s="15" t="s">
        <v>24</v>
      </c>
      <c r="E863" s="15" t="s">
        <v>28</v>
      </c>
      <c r="F863" s="15" t="s">
        <v>32</v>
      </c>
      <c r="G863" s="15" t="s">
        <v>37</v>
      </c>
      <c r="H863" s="16">
        <v>217</v>
      </c>
      <c r="I863" s="17">
        <v>54.63</v>
      </c>
      <c r="J863" s="18">
        <v>0.05</v>
      </c>
      <c r="K863" s="17">
        <v>11855.23</v>
      </c>
      <c r="L863" s="17">
        <v>11262.47</v>
      </c>
      <c r="M863" s="17">
        <v>7.85</v>
      </c>
      <c r="N863" s="17">
        <v>1702.72</v>
      </c>
      <c r="O863" s="17">
        <v>9559.75</v>
      </c>
      <c r="P863" s="18">
        <v>0.8488</v>
      </c>
      <c r="Q863" s="17">
        <v>439.1</v>
      </c>
      <c r="R863" s="15" t="s">
        <v>40</v>
      </c>
    </row>
    <row r="864" spans="1:18" ht="14.25" customHeight="1" x14ac:dyDescent="0.3">
      <c r="A864" s="14">
        <v>45992</v>
      </c>
      <c r="B864" s="15">
        <v>2025</v>
      </c>
      <c r="C864" s="15" t="s">
        <v>49</v>
      </c>
      <c r="D864" s="15" t="s">
        <v>27</v>
      </c>
      <c r="E864" s="15" t="s">
        <v>20</v>
      </c>
      <c r="F864" s="15" t="s">
        <v>21</v>
      </c>
      <c r="G864" s="15" t="s">
        <v>37</v>
      </c>
      <c r="H864" s="16">
        <v>396</v>
      </c>
      <c r="I864" s="17">
        <v>55.18</v>
      </c>
      <c r="J864" s="18">
        <v>9.5000000000000001E-2</v>
      </c>
      <c r="K864" s="17">
        <v>21851.66</v>
      </c>
      <c r="L864" s="17">
        <v>19775.75</v>
      </c>
      <c r="M864" s="17">
        <v>7.85</v>
      </c>
      <c r="N864" s="17">
        <v>3107.27</v>
      </c>
      <c r="O864" s="17">
        <v>16668.48</v>
      </c>
      <c r="P864" s="18">
        <v>0.84289999999999998</v>
      </c>
      <c r="Q864" s="17">
        <v>622.85</v>
      </c>
      <c r="R864" s="15" t="s">
        <v>40</v>
      </c>
    </row>
    <row r="865" spans="1:18" ht="14.25" customHeight="1" x14ac:dyDescent="0.3">
      <c r="A865" s="14">
        <v>45992</v>
      </c>
      <c r="B865" s="15">
        <v>2025</v>
      </c>
      <c r="C865" s="15" t="s">
        <v>49</v>
      </c>
      <c r="D865" s="15" t="s">
        <v>30</v>
      </c>
      <c r="E865" s="15" t="s">
        <v>25</v>
      </c>
      <c r="F865" s="15" t="s">
        <v>26</v>
      </c>
      <c r="G865" s="15" t="s">
        <v>37</v>
      </c>
      <c r="H865" s="16">
        <v>208</v>
      </c>
      <c r="I865" s="17">
        <v>53.54</v>
      </c>
      <c r="J865" s="18">
        <v>6.5000000000000002E-2</v>
      </c>
      <c r="K865" s="17">
        <v>11137</v>
      </c>
      <c r="L865" s="17">
        <v>10413.09</v>
      </c>
      <c r="M865" s="17">
        <v>7.85</v>
      </c>
      <c r="N865" s="17">
        <v>1632.1</v>
      </c>
      <c r="O865" s="17">
        <v>8780.99</v>
      </c>
      <c r="P865" s="18">
        <v>0.84330000000000005</v>
      </c>
      <c r="Q865" s="17">
        <v>412.95</v>
      </c>
      <c r="R865" s="15" t="s">
        <v>40</v>
      </c>
    </row>
  </sheetData>
  <conditionalFormatting sqref="H2:H865">
    <cfRule type="dataBar" priority="3">
      <dataBar>
        <cfvo type="min"/>
        <cfvo type="max"/>
        <color rgb="FF5B9BD5"/>
      </dataBar>
    </cfRule>
    <cfRule type="dataBar" priority="4">
      <dataBar>
        <cfvo type="min"/>
        <cfvo type="max"/>
        <color rgb="FF5B9BD5"/>
      </dataBar>
    </cfRule>
  </conditionalFormatting>
  <conditionalFormatting sqref="P2:P865">
    <cfRule type="colorScale" priority="2">
      <colorScale>
        <cfvo type="min"/>
        <cfvo type="percentile" val="50"/>
        <cfvo type="max"/>
        <color rgb="FFFDE9D9"/>
        <color rgb="FFFFF2CC"/>
        <color rgb="FFE2F0D9"/>
      </colorScale>
    </cfRule>
  </conditionalFormatting>
  <dataValidations count="4">
    <dataValidation type="list" sqref="D2:D865" xr:uid="{00000000-0002-0000-0200-000000000000}">
      <formula1>"North,South,West,East"</formula1>
      <formula2>0</formula2>
    </dataValidation>
    <dataValidation type="list" sqref="E2:E865" xr:uid="{00000000-0002-0000-0200-000001000000}">
      <formula1>"Online,Retail,Distributor,Direct Sales"</formula1>
      <formula2>0</formula2>
    </dataValidation>
    <dataValidation type="list" sqref="F2:F865" xr:uid="{00000000-0002-0000-0200-000002000000}">
      <formula1>"Retail Customer,Student,SME,Enterprise"</formula1>
      <formula2>0</formula2>
    </dataValidation>
    <dataValidation type="list" sqref="R2:R865" xr:uid="{00000000-0002-0000-0200-000003000000}">
      <formula1>"Yes,No"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zoomScaleNormal="100" workbookViewId="0"/>
  </sheetViews>
  <sheetFormatPr defaultColWidth="8.6640625" defaultRowHeight="14.4" x14ac:dyDescent="0.3"/>
  <cols>
    <col min="1" max="1" width="15" customWidth="1"/>
    <col min="2" max="2" width="24" customWidth="1"/>
    <col min="3" max="3" width="18" customWidth="1"/>
    <col min="4" max="4" width="15" customWidth="1"/>
    <col min="5" max="5" width="13" customWidth="1"/>
    <col min="6" max="6" width="16" customWidth="1"/>
    <col min="7" max="7" width="14" customWidth="1"/>
    <col min="8" max="8" width="15" customWidth="1"/>
    <col min="9" max="9" width="16" customWidth="1"/>
    <col min="10" max="10" width="20" customWidth="1"/>
    <col min="11" max="11" width="32" customWidth="1"/>
    <col min="12" max="12" width="18" customWidth="1"/>
  </cols>
  <sheetData>
    <row r="1" spans="1:12" ht="27.75" customHeight="1" x14ac:dyDescent="0.3">
      <c r="A1" s="13" t="s">
        <v>6</v>
      </c>
      <c r="B1" s="13" t="s">
        <v>82</v>
      </c>
      <c r="C1" s="13" t="s">
        <v>83</v>
      </c>
      <c r="D1" s="13" t="s">
        <v>84</v>
      </c>
      <c r="E1" s="13" t="s">
        <v>85</v>
      </c>
      <c r="F1" s="13" t="s">
        <v>86</v>
      </c>
      <c r="G1" s="13" t="s">
        <v>87</v>
      </c>
      <c r="H1" s="13" t="s">
        <v>88</v>
      </c>
      <c r="I1" s="13" t="s">
        <v>89</v>
      </c>
      <c r="J1" s="13" t="s">
        <v>90</v>
      </c>
      <c r="K1" s="13" t="s">
        <v>91</v>
      </c>
      <c r="L1" s="13" t="s">
        <v>92</v>
      </c>
    </row>
    <row r="2" spans="1:12" ht="14.25" customHeight="1" x14ac:dyDescent="0.3">
      <c r="A2" s="15" t="s">
        <v>22</v>
      </c>
      <c r="B2" s="15" t="s">
        <v>93</v>
      </c>
      <c r="C2" s="15" t="s">
        <v>94</v>
      </c>
      <c r="D2" s="15" t="s">
        <v>95</v>
      </c>
      <c r="E2" s="14">
        <v>44652</v>
      </c>
      <c r="F2" s="15" t="s">
        <v>96</v>
      </c>
      <c r="G2" s="17">
        <v>492.9</v>
      </c>
      <c r="H2" s="17">
        <v>369.68</v>
      </c>
      <c r="I2" s="18">
        <v>0.25</v>
      </c>
      <c r="J2" s="16">
        <v>95</v>
      </c>
      <c r="K2" s="19" t="s">
        <v>97</v>
      </c>
      <c r="L2" s="15" t="s">
        <v>98</v>
      </c>
    </row>
    <row r="3" spans="1:12" ht="14.25" customHeight="1" x14ac:dyDescent="0.3">
      <c r="A3" s="15" t="s">
        <v>33</v>
      </c>
      <c r="B3" s="15" t="s">
        <v>99</v>
      </c>
      <c r="C3" s="15" t="s">
        <v>94</v>
      </c>
      <c r="D3" s="15" t="s">
        <v>100</v>
      </c>
      <c r="E3" s="14">
        <v>44470</v>
      </c>
      <c r="F3" s="15" t="s">
        <v>101</v>
      </c>
      <c r="G3" s="17">
        <v>699.6</v>
      </c>
      <c r="H3" s="17">
        <v>548.54999999999995</v>
      </c>
      <c r="I3" s="18">
        <v>0.22</v>
      </c>
      <c r="J3" s="16">
        <v>70</v>
      </c>
      <c r="K3" s="19" t="s">
        <v>102</v>
      </c>
      <c r="L3" s="15" t="s">
        <v>98</v>
      </c>
    </row>
    <row r="4" spans="1:12" ht="14.25" customHeight="1" x14ac:dyDescent="0.3">
      <c r="A4" s="15" t="s">
        <v>34</v>
      </c>
      <c r="B4" s="15" t="s">
        <v>103</v>
      </c>
      <c r="C4" s="15" t="s">
        <v>104</v>
      </c>
      <c r="D4" s="15" t="s">
        <v>105</v>
      </c>
      <c r="E4" s="14">
        <v>44774</v>
      </c>
      <c r="F4" s="15" t="s">
        <v>96</v>
      </c>
      <c r="G4" s="17">
        <v>222.6</v>
      </c>
      <c r="H4" s="17">
        <v>151.05000000000001</v>
      </c>
      <c r="I4" s="18">
        <v>0.32</v>
      </c>
      <c r="J4" s="16">
        <v>130</v>
      </c>
      <c r="K4" s="19" t="s">
        <v>106</v>
      </c>
      <c r="L4" s="15" t="s">
        <v>107</v>
      </c>
    </row>
    <row r="5" spans="1:12" ht="14.25" customHeight="1" x14ac:dyDescent="0.3">
      <c r="A5" s="15" t="s">
        <v>35</v>
      </c>
      <c r="B5" s="15" t="s">
        <v>108</v>
      </c>
      <c r="C5" s="15" t="s">
        <v>109</v>
      </c>
      <c r="D5" s="15" t="s">
        <v>110</v>
      </c>
      <c r="E5" s="14">
        <v>43952</v>
      </c>
      <c r="F5" s="15" t="s">
        <v>101</v>
      </c>
      <c r="G5" s="17">
        <v>11.13</v>
      </c>
      <c r="H5" s="17">
        <v>5.57</v>
      </c>
      <c r="I5" s="18">
        <v>0.5</v>
      </c>
      <c r="J5" s="16">
        <v>520</v>
      </c>
      <c r="K5" s="19" t="s">
        <v>111</v>
      </c>
      <c r="L5" s="15" t="s">
        <v>107</v>
      </c>
    </row>
    <row r="6" spans="1:12" ht="14.25" customHeight="1" x14ac:dyDescent="0.3">
      <c r="A6" s="15" t="s">
        <v>36</v>
      </c>
      <c r="B6" s="15" t="s">
        <v>112</v>
      </c>
      <c r="C6" s="15" t="s">
        <v>113</v>
      </c>
      <c r="D6" s="15" t="s">
        <v>114</v>
      </c>
      <c r="E6" s="14">
        <v>44197</v>
      </c>
      <c r="F6" s="15" t="s">
        <v>96</v>
      </c>
      <c r="G6" s="17">
        <v>67.58</v>
      </c>
      <c r="H6" s="17">
        <v>14.31</v>
      </c>
      <c r="I6" s="18">
        <v>0.78</v>
      </c>
      <c r="J6" s="16">
        <v>160</v>
      </c>
      <c r="K6" s="19" t="s">
        <v>115</v>
      </c>
      <c r="L6" s="15" t="s">
        <v>98</v>
      </c>
    </row>
    <row r="7" spans="1:12" ht="14.25" customHeight="1" x14ac:dyDescent="0.3">
      <c r="A7" s="15" t="s">
        <v>37</v>
      </c>
      <c r="B7" s="15" t="s">
        <v>116</v>
      </c>
      <c r="C7" s="15" t="s">
        <v>117</v>
      </c>
      <c r="D7" s="15" t="s">
        <v>118</v>
      </c>
      <c r="E7" s="14">
        <v>43831</v>
      </c>
      <c r="F7" s="15" t="s">
        <v>101</v>
      </c>
      <c r="G7" s="17">
        <v>51.68</v>
      </c>
      <c r="H7" s="17">
        <v>7.16</v>
      </c>
      <c r="I7" s="18">
        <v>0.86</v>
      </c>
      <c r="J7" s="16">
        <v>145</v>
      </c>
      <c r="K7" s="19" t="s">
        <v>119</v>
      </c>
      <c r="L7" s="15" t="s">
        <v>98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zoomScaleNormal="100" workbookViewId="0"/>
  </sheetViews>
  <sheetFormatPr defaultColWidth="8.6640625" defaultRowHeight="14.4" x14ac:dyDescent="0.3"/>
  <cols>
    <col min="1" max="6" width="16" customWidth="1"/>
  </cols>
  <sheetData>
    <row r="1" spans="1:6" ht="39" customHeight="1" x14ac:dyDescent="0.3">
      <c r="A1" s="20" t="s">
        <v>75</v>
      </c>
      <c r="B1" s="20" t="s">
        <v>120</v>
      </c>
      <c r="C1" s="20" t="s">
        <v>121</v>
      </c>
      <c r="D1" s="20" t="s">
        <v>122</v>
      </c>
      <c r="E1" s="20" t="s">
        <v>123</v>
      </c>
      <c r="F1" s="20" t="s">
        <v>124</v>
      </c>
    </row>
    <row r="2" spans="1:6" ht="13.5" customHeight="1" x14ac:dyDescent="0.3">
      <c r="A2" s="21" t="s">
        <v>66</v>
      </c>
      <c r="B2" s="22">
        <v>0.08</v>
      </c>
      <c r="C2" s="22">
        <v>0.02</v>
      </c>
      <c r="D2" s="22">
        <v>0.04</v>
      </c>
      <c r="E2" s="22">
        <v>0</v>
      </c>
      <c r="F2" s="22">
        <v>0.05</v>
      </c>
    </row>
    <row r="3" spans="1:6" ht="13.5" customHeight="1" x14ac:dyDescent="0.3">
      <c r="A3" s="21" t="s">
        <v>125</v>
      </c>
      <c r="B3" s="22">
        <v>0.14000000000000001</v>
      </c>
      <c r="C3" s="22">
        <v>0.04</v>
      </c>
      <c r="D3" s="22">
        <v>0.02</v>
      </c>
      <c r="E3" s="22">
        <v>-0.01</v>
      </c>
      <c r="F3" s="22">
        <v>0.1</v>
      </c>
    </row>
    <row r="4" spans="1:6" ht="13.5" customHeight="1" x14ac:dyDescent="0.3">
      <c r="A4" s="21" t="s">
        <v>126</v>
      </c>
      <c r="B4" s="22">
        <v>0.02</v>
      </c>
      <c r="C4" s="22">
        <v>0</v>
      </c>
      <c r="D4" s="22">
        <v>0.08</v>
      </c>
      <c r="E4" s="22">
        <v>0.02</v>
      </c>
      <c r="F4" s="22">
        <v>-0.05</v>
      </c>
    </row>
    <row r="5" spans="1:6" ht="13.5" customHeight="1" x14ac:dyDescent="0.3">
      <c r="A5" s="21" t="s">
        <v>127</v>
      </c>
      <c r="B5" s="22">
        <v>0.05</v>
      </c>
      <c r="C5" s="22">
        <v>0.03</v>
      </c>
      <c r="D5" s="22">
        <v>0.01</v>
      </c>
      <c r="E5" s="22">
        <v>-0.02</v>
      </c>
      <c r="F5" s="22">
        <v>0</v>
      </c>
    </row>
    <row r="6" spans="1:6" ht="13.5" customHeight="1" x14ac:dyDescent="0.3">
      <c r="A6" s="21" t="s">
        <v>128</v>
      </c>
      <c r="B6" s="22">
        <v>0.18</v>
      </c>
      <c r="C6" s="22">
        <v>0.01</v>
      </c>
      <c r="D6" s="22">
        <v>0.05</v>
      </c>
      <c r="E6" s="22">
        <v>0.03</v>
      </c>
      <c r="F6" s="22">
        <v>0.2</v>
      </c>
    </row>
    <row r="8" spans="1:6" ht="13.5" customHeight="1" x14ac:dyDescent="0.3">
      <c r="A8" s="1" t="s">
        <v>129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zoomScaleNormal="100" workbookViewId="0">
      <selection activeCell="A7" sqref="A7"/>
    </sheetView>
  </sheetViews>
  <sheetFormatPr defaultColWidth="8.6640625" defaultRowHeight="14.4" x14ac:dyDescent="0.3"/>
  <cols>
    <col min="1" max="1" width="100.44140625" style="23" customWidth="1"/>
  </cols>
  <sheetData>
    <row r="1" spans="1:1" s="25" customFormat="1" ht="13.5" customHeight="1" x14ac:dyDescent="0.3">
      <c r="A1" s="24" t="s">
        <v>130</v>
      </c>
    </row>
    <row r="2" spans="1:1" ht="54" customHeight="1" x14ac:dyDescent="0.3">
      <c r="A2" s="23" t="s">
        <v>131</v>
      </c>
    </row>
    <row r="3" spans="1:1" ht="15" customHeight="1" x14ac:dyDescent="0.3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8"/>
  <sheetViews>
    <sheetView showGridLines="0" zoomScaleNormal="100" workbookViewId="0"/>
  </sheetViews>
  <sheetFormatPr defaultColWidth="8.6640625" defaultRowHeight="14.4" x14ac:dyDescent="0.3"/>
  <cols>
    <col min="1" max="1" width="16" customWidth="1"/>
    <col min="2" max="2" width="15" customWidth="1"/>
    <col min="3" max="3" width="4" customWidth="1"/>
    <col min="4" max="5" width="14" customWidth="1"/>
    <col min="6" max="6" width="4" customWidth="1"/>
    <col min="7" max="7" width="22" customWidth="1"/>
    <col min="8" max="8" width="13" customWidth="1"/>
    <col min="9" max="9" width="14" customWidth="1"/>
  </cols>
  <sheetData>
    <row r="1" spans="1:9" ht="15" customHeight="1" x14ac:dyDescent="0.3">
      <c r="A1" s="1" t="s">
        <v>154</v>
      </c>
    </row>
    <row r="3" spans="1:9" ht="15" customHeight="1" x14ac:dyDescent="0.3">
      <c r="A3" s="2" t="s">
        <v>155</v>
      </c>
      <c r="D3" s="2" t="s">
        <v>156</v>
      </c>
      <c r="G3" s="2" t="s">
        <v>157</v>
      </c>
    </row>
    <row r="4" spans="1:9" ht="26.25" customHeight="1" x14ac:dyDescent="0.3">
      <c r="A4" s="29" t="s">
        <v>4</v>
      </c>
      <c r="B4" s="29" t="s">
        <v>11</v>
      </c>
      <c r="D4" s="29" t="s">
        <v>158</v>
      </c>
      <c r="E4" s="29" t="s">
        <v>11</v>
      </c>
      <c r="G4" s="30" t="s">
        <v>82</v>
      </c>
      <c r="H4" s="30" t="s">
        <v>159</v>
      </c>
      <c r="I4" s="30" t="s">
        <v>89</v>
      </c>
    </row>
    <row r="5" spans="1:9" ht="15" customHeight="1" x14ac:dyDescent="0.3">
      <c r="A5" s="31" t="s">
        <v>20</v>
      </c>
      <c r="B5" s="26">
        <f>SUMIFS(Sales_Data!$L$2:$L$865,Sales_Data!$B$2:$B$865,2025,Sales_Data!$E$2:$E$865,$A5)</f>
        <v>3992078.2599999993</v>
      </c>
      <c r="D5" s="31" t="s">
        <v>94</v>
      </c>
      <c r="E5" s="26">
        <f>SUMIFS(Sales_Data!$L$2:$L$865,Sales_Data!$B$2:$B$865,2025,Sales_Data!$G$2:$G$865,"LAP-AIR-13")+SUMIFS(Sales_Data!$L$2:$L$865,Sales_Data!$B$2:$B$865,2025,Sales_Data!$G$2:$G$865,"LAP-PRO-15")</f>
        <v>7975974.1499999985</v>
      </c>
      <c r="G5" s="31" t="str">
        <f>INDEX(Master_Data!$B$2:$B$7,MATCH("LAP-AIR-13",Master_Data!$A$2:$A$7,0))</f>
        <v>AeroBook 13 Laptop</v>
      </c>
      <c r="H5" s="27">
        <f>IFERROR(SUMIFS(Sales_Data!$O$2:$O$865,Sales_Data!$B$2:$B$865,2025,Sales_Data!$G$2:$G$865,"LAP-AIR-13")/SUMIFS(Sales_Data!$L$2:$L$865,Sales_Data!$B$2:$B$865,2025,Sales_Data!$G$2:$G$865,"LAP-AIR-13"),0)</f>
        <v>0.13595480525049713</v>
      </c>
      <c r="I5" s="27">
        <f>INDEX(Master_Data!$I$2:$I$7,MATCH("LAP-AIR-13",Master_Data!$A$2:$A$7,0))</f>
        <v>0.25</v>
      </c>
    </row>
    <row r="6" spans="1:9" ht="15" customHeight="1" x14ac:dyDescent="0.3">
      <c r="A6" s="31" t="s">
        <v>25</v>
      </c>
      <c r="B6" s="26">
        <f>SUMIFS(Sales_Data!$L$2:$L$865,Sales_Data!$B$2:$B$865,2025,Sales_Data!$E$2:$E$865,$A6)</f>
        <v>3066349.9000000008</v>
      </c>
      <c r="D6" s="31" t="s">
        <v>104</v>
      </c>
      <c r="E6" s="26">
        <f>SUMIFS(Sales_Data!$L$2:$L$865,Sales_Data!$B$2:$B$865,2025,Sales_Data!$G$2:$G$865,"TAB-LITE-10")</f>
        <v>2792436.3700000006</v>
      </c>
      <c r="G6" s="31" t="str">
        <f>INDEX(Master_Data!$B$2:$B$7,MATCH("LAP-PRO-15",Master_Data!$A$2:$A$7,0))</f>
        <v>ProBook 15 Laptop</v>
      </c>
      <c r="H6" s="27">
        <f>IFERROR(SUMIFS(Sales_Data!$O$2:$O$865,Sales_Data!$B$2:$B$865,2025,Sales_Data!$G$2:$G$865,"LAP-PRO-15")/SUMIFS(Sales_Data!$L$2:$L$865,Sales_Data!$B$2:$B$865,2025,Sales_Data!$G$2:$G$865,"LAP-PRO-15"),0)</f>
        <v>9.724449378064165E-2</v>
      </c>
      <c r="I6" s="27">
        <f>INDEX(Master_Data!$I$2:$I$7,MATCH("LAP-PRO-15",Master_Data!$A$2:$A$7,0))</f>
        <v>0.22</v>
      </c>
    </row>
    <row r="7" spans="1:9" ht="15" customHeight="1" x14ac:dyDescent="0.3">
      <c r="A7" s="31" t="s">
        <v>28</v>
      </c>
      <c r="B7" s="26">
        <f>SUMIFS(Sales_Data!$L$2:$L$865,Sales_Data!$B$2:$B$865,2025,Sales_Data!$E$2:$E$865,$A7)</f>
        <v>1717358.3899999997</v>
      </c>
      <c r="D7" s="31" t="s">
        <v>113</v>
      </c>
      <c r="E7" s="26">
        <f>SUMIFS(Sales_Data!$L$2:$L$865,Sales_Data!$B$2:$B$865,2025,Sales_Data!$G$2:$G$865,"SW-OFF-365")</f>
        <v>979571.14</v>
      </c>
      <c r="G7" s="31" t="str">
        <f>INDEX(Master_Data!$B$2:$B$7,MATCH("TAB-LITE-10",Master_Data!$A$2:$A$7,0))</f>
        <v>LiteTab 10 Tablet</v>
      </c>
      <c r="H7" s="27">
        <f>IFERROR(SUMIFS(Sales_Data!$O$2:$O$865,Sales_Data!$B$2:$B$865,2025,Sales_Data!$G$2:$G$865,"TAB-LITE-10")/SUMIFS(Sales_Data!$L$2:$L$865,Sales_Data!$B$2:$B$865,2025,Sales_Data!$G$2:$G$865,"TAB-LITE-10"),0)</f>
        <v>0.21078429801428197</v>
      </c>
      <c r="I7" s="27">
        <f>INDEX(Master_Data!$I$2:$I$7,MATCH("TAB-LITE-10",Master_Data!$A$2:$A$7,0))</f>
        <v>0.32</v>
      </c>
    </row>
    <row r="8" spans="1:9" ht="15" customHeight="1" x14ac:dyDescent="0.3">
      <c r="A8" s="31" t="s">
        <v>31</v>
      </c>
      <c r="B8" s="26">
        <f>SUMIFS(Sales_Data!$L$2:$L$865,Sales_Data!$B$2:$B$865,2025,Sales_Data!$E$2:$E$865,$A8)</f>
        <v>4020646.71</v>
      </c>
      <c r="D8" s="31" t="s">
        <v>109</v>
      </c>
      <c r="E8" s="26">
        <f>SUMIFS(Sales_Data!$L$2:$L$865,Sales_Data!$B$2:$B$865,2025,Sales_Data!$G$2:$G$865,"ACC-MSE-WL")</f>
        <v>499870.79</v>
      </c>
      <c r="G8" s="31" t="str">
        <f>INDEX(Master_Data!$B$2:$B$7,MATCH("ACC-MSE-WL",Master_Data!$A$2:$A$7,0))</f>
        <v>Wireless Mouse</v>
      </c>
      <c r="H8" s="27">
        <f>IFERROR(SUMIFS(Sales_Data!$O$2:$O$865,Sales_Data!$B$2:$B$865,2025,Sales_Data!$G$2:$G$865,"ACC-MSE-WL")/SUMIFS(Sales_Data!$L$2:$L$865,Sales_Data!$B$2:$B$865,2025,Sales_Data!$G$2:$G$865,"ACC-MSE-WL"),0)</f>
        <v>0.41868205581686418</v>
      </c>
      <c r="I8" s="27">
        <f>INDEX(Master_Data!$I$2:$I$7,MATCH("ACC-MSE-WL",Master_Data!$A$2:$A$7,0))</f>
        <v>0.5</v>
      </c>
    </row>
    <row r="9" spans="1:9" ht="15" customHeight="1" x14ac:dyDescent="0.3">
      <c r="D9" s="31" t="s">
        <v>117</v>
      </c>
      <c r="E9" s="26">
        <f>SUMIFS(Sales_Data!$L$2:$L$865,Sales_Data!$B$2:$B$865,2025,Sales_Data!$G$2:$G$865,"WAR-EXT-2Y")</f>
        <v>548580.80999999994</v>
      </c>
      <c r="G9" s="31" t="str">
        <f>INDEX(Master_Data!$B$2:$B$7,MATCH("SW-OFF-365",Master_Data!$A$2:$A$7,0))</f>
        <v>Office Software Bundle</v>
      </c>
      <c r="H9" s="27">
        <f>IFERROR(SUMIFS(Sales_Data!$O$2:$O$865,Sales_Data!$B$2:$B$865,2025,Sales_Data!$G$2:$G$865,"SW-OFF-365")/SUMIFS(Sales_Data!$L$2:$L$865,Sales_Data!$B$2:$B$865,2025,Sales_Data!$G$2:$G$865,"SW-OFF-365"),0)</f>
        <v>0.75788646652044067</v>
      </c>
      <c r="I9" s="27">
        <f>INDEX(Master_Data!$I$2:$I$7,MATCH("SW-OFF-365",Master_Data!$A$2:$A$7,0))</f>
        <v>0.78</v>
      </c>
    </row>
    <row r="10" spans="1:9" ht="15" customHeight="1" x14ac:dyDescent="0.3">
      <c r="G10" s="31" t="str">
        <f>INDEX(Master_Data!$B$2:$B$7,MATCH("WAR-EXT-2Y",Master_Data!$A$2:$A$7,0))</f>
        <v>Extended Warranty 2Y</v>
      </c>
      <c r="H10" s="27">
        <f>IFERROR(SUMIFS(Sales_Data!$O$2:$O$865,Sales_Data!$B$2:$B$865,2025,Sales_Data!$G$2:$G$865,"WAR-EXT-2Y")/SUMIFS(Sales_Data!$L$2:$L$865,Sales_Data!$B$2:$B$865,2025,Sales_Data!$G$2:$G$865,"WAR-EXT-2Y"),0)</f>
        <v>0.84613685265439731</v>
      </c>
      <c r="I10" s="27">
        <f>INDEX(Master_Data!$I$2:$I$7,MATCH("WAR-EXT-2Y",Master_Data!$A$2:$A$7,0))</f>
        <v>0.86</v>
      </c>
    </row>
    <row r="12" spans="1:9" ht="15" customHeight="1" x14ac:dyDescent="0.3">
      <c r="A12" s="2" t="s">
        <v>160</v>
      </c>
    </row>
    <row r="13" spans="1:9" ht="15" customHeight="1" x14ac:dyDescent="0.3">
      <c r="A13" s="29" t="s">
        <v>75</v>
      </c>
      <c r="B13" s="29" t="s">
        <v>76</v>
      </c>
      <c r="C13" s="29" t="s">
        <v>78</v>
      </c>
    </row>
    <row r="14" spans="1:9" ht="15" customHeight="1" x14ac:dyDescent="0.3">
      <c r="A14" s="31" t="str">
        <f>Forecast_2026!A37</f>
        <v>Base Case</v>
      </c>
      <c r="B14" s="26">
        <f>Forecast_2026!D37</f>
        <v>14096550.879216</v>
      </c>
      <c r="C14" s="27">
        <f>Forecast_2026!G37</f>
        <v>0.21476611436799745</v>
      </c>
    </row>
    <row r="15" spans="1:9" ht="15" customHeight="1" x14ac:dyDescent="0.3">
      <c r="A15" s="31" t="str">
        <f>Forecast_2026!A38</f>
        <v>Optimistic</v>
      </c>
      <c r="B15" s="26">
        <f>Forecast_2026!D38</f>
        <v>15339366.467493121</v>
      </c>
      <c r="C15" s="27">
        <f>Forecast_2026!G38</f>
        <v>0.25294530233902301</v>
      </c>
    </row>
    <row r="16" spans="1:9" ht="15" customHeight="1" x14ac:dyDescent="0.3">
      <c r="A16" s="31" t="str">
        <f>Forecast_2026!A39</f>
        <v>Pessimistic</v>
      </c>
      <c r="B16" s="26">
        <f>Forecast_2026!D39</f>
        <v>12763439.019791998</v>
      </c>
      <c r="C16" s="27">
        <f>Forecast_2026!G39</f>
        <v>0.1494281204451651</v>
      </c>
    </row>
    <row r="17" spans="1:3" ht="15" customHeight="1" x14ac:dyDescent="0.3">
      <c r="A17" s="31" t="str">
        <f>Forecast_2026!A40</f>
        <v>Margin Recovery</v>
      </c>
      <c r="B17" s="26">
        <f>Forecast_2026!D40</f>
        <v>14145685.8277476</v>
      </c>
      <c r="C17" s="27">
        <f>Forecast_2026!G40</f>
        <v>0.26117519869101102</v>
      </c>
    </row>
    <row r="18" spans="1:3" ht="15" customHeight="1" x14ac:dyDescent="0.3">
      <c r="A18" s="31" t="str">
        <f>Forecast_2026!A41</f>
        <v>Growth Push</v>
      </c>
      <c r="B18" s="26">
        <f>Forecast_2026!D41</f>
        <v>14744409.278877916</v>
      </c>
      <c r="C18" s="27">
        <f>Forecast_2026!G41</f>
        <v>0.1718695956058518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1_Actuals_Overview</vt:lpstr>
      <vt:lpstr>Actuals_Summary</vt:lpstr>
      <vt:lpstr>2_2026_Forecast</vt:lpstr>
      <vt:lpstr>Forecast_2026</vt:lpstr>
      <vt:lpstr>Sales_Data</vt:lpstr>
      <vt:lpstr>Master_Data</vt:lpstr>
      <vt:lpstr>Assumed_scenario</vt:lpstr>
      <vt:lpstr>company_profile</vt:lpstr>
      <vt:lpstr>Chart_Data</vt:lpstr>
      <vt:lpstr>ScenarioList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veer porwal</cp:lastModifiedBy>
  <cp:revision>7</cp:revision>
  <dcterms:created xsi:type="dcterms:W3CDTF">2026-07-01T18:03:04Z</dcterms:created>
  <dcterms:modified xsi:type="dcterms:W3CDTF">2026-07-19T06:59:26Z</dcterms:modified>
  <dc:language>en-US</dc:language>
</cp:coreProperties>
</file>